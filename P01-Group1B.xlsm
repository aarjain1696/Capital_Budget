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ustomProperty4.bin" ContentType="application/vnd.openxmlformats-officedocument.spreadsheetml.customProperty"/>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aarjavjain/OneDrive - Syracuse University/Syracuse Semesters/Sem 4/Financial Modelling/P-01/Final/"/>
    </mc:Choice>
  </mc:AlternateContent>
  <xr:revisionPtr revIDLastSave="0" documentId="13_ncr:1_{96E15E31-EEDB-ED42-9E19-26C9C566EC88}" xr6:coauthVersionLast="47" xr6:coauthVersionMax="47" xr10:uidLastSave="{00000000-0000-0000-0000-000000000000}"/>
  <bookViews>
    <workbookView xWindow="-120" yWindow="500" windowWidth="28860" windowHeight="15900" tabRatio="815" xr2:uid="{86B99219-F8F1-46B4-90EE-335F40E8291E}"/>
  </bookViews>
  <sheets>
    <sheet name="User Guide" sheetId="7" r:id="rId1"/>
    <sheet name="Summary" sheetId="6" r:id="rId2"/>
    <sheet name="ProjectPortfolio" sheetId="23" r:id="rId3"/>
    <sheet name="NPV Profile" sheetId="8" r:id="rId4"/>
    <sheet name="Portfolio" sheetId="24" r:id="rId5"/>
    <sheet name="ProjectA" sheetId="9" r:id="rId6"/>
    <sheet name="ProjectB" sheetId="10" r:id="rId7"/>
    <sheet name="ProjectC" sheetId="11" r:id="rId8"/>
    <sheet name="ProjectD" sheetId="12" r:id="rId9"/>
    <sheet name="ProjectE" sheetId="14" r:id="rId10"/>
    <sheet name="ProjectF" sheetId="15" r:id="rId11"/>
    <sheet name="ProjectG" sheetId="18" r:id="rId12"/>
    <sheet name="ProjectH" sheetId="19" r:id="rId13"/>
    <sheet name="ProjectI" sheetId="20" r:id="rId14"/>
    <sheet name="ProjectJ" sheetId="21" r:id="rId15"/>
    <sheet name="ProjectK" sheetId="22" r:id="rId16"/>
  </sheets>
  <externalReferences>
    <externalReference r:id="rId17"/>
  </externalReferences>
  <definedNames>
    <definedName name="assetProfileStart">[1]GetRecentDataFromYahoo!$BL$13</definedName>
    <definedName name="Binary_Decisions">Summary!$AJ$15:$AJ$25</definedName>
    <definedName name="JSONstart">[1]GetRecentDataFromYahoo!$CS$13</definedName>
    <definedName name="Max_Beta">Summary!$E$8</definedName>
    <definedName name="Max_Capital">Summary!$B$8</definedName>
    <definedName name="Min_Beta">Summary!$E$7</definedName>
    <definedName name="Min_Capital">Summary!$B$7</definedName>
    <definedName name="MRP">Summary!$C$4</definedName>
    <definedName name="One">Summary!$AN$9</definedName>
    <definedName name="ProjectBeta">Summary!$M$6</definedName>
    <definedName name="RfRate">Summary!$C$3</definedName>
    <definedName name="solver_adj" localSheetId="1" hidden="1">Summary!$AJ$15:$AJ$25</definedName>
    <definedName name="solver_cvg" localSheetId="1" hidden="1">0.0001</definedName>
    <definedName name="solver_drv" localSheetId="1" hidden="1">1</definedName>
    <definedName name="solver_eng" localSheetId="1" hidden="1">3</definedName>
    <definedName name="solver_est" localSheetId="1" hidden="1">1</definedName>
    <definedName name="solver_itr" localSheetId="1" hidden="1">2147483647</definedName>
    <definedName name="solver_lhs1" localSheetId="1" hidden="1">Summary!$AJ$15:$AJ$25</definedName>
    <definedName name="solver_lhs2" localSheetId="1" hidden="1">Summary!$M$5</definedName>
    <definedName name="solver_lhs3" localSheetId="1" hidden="1">Summary!$M$5</definedName>
    <definedName name="solver_lhs4" localSheetId="1" hidden="1">Summary!$M$6</definedName>
    <definedName name="solver_lhs5" localSheetId="1" hidden="1">Summary!$M$6</definedName>
    <definedName name="solver_lhs6" localSheetId="1" hidden="1">Summary!$AL$11</definedName>
    <definedName name="solver_lhs7" localSheetId="1" hidden="1">Summary!$AL$9</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7</definedName>
    <definedName name="solver_nwt" localSheetId="1" hidden="1">1</definedName>
    <definedName name="solver_opt" localSheetId="1" hidden="1">Summary!$M$7</definedName>
    <definedName name="solver_pre" localSheetId="1" hidden="1">0.000001</definedName>
    <definedName name="solver_rbv" localSheetId="1" hidden="1">1</definedName>
    <definedName name="solver_rel1" localSheetId="1" hidden="1">5</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el7" localSheetId="1" hidden="1">1</definedName>
    <definedName name="solver_rhs1" localSheetId="1" hidden="1">binary</definedName>
    <definedName name="solver_rhs2" localSheetId="1" hidden="1">Max_Capital</definedName>
    <definedName name="solver_rhs3" localSheetId="1" hidden="1">Min_Capital</definedName>
    <definedName name="solver_rhs4" localSheetId="1" hidden="1">Max_Beta</definedName>
    <definedName name="solver_rhs5" localSheetId="1" hidden="1">Min_Beta</definedName>
    <definedName name="solver_rhs6" localSheetId="1" hidden="1">Zero</definedName>
    <definedName name="solver_rhs7" localSheetId="1" hidden="1">One</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Sum_Mutually_Exclusive">Summary!$AL$9</definedName>
    <definedName name="Sum_NegNPVPrj">Summary!$AL$11</definedName>
    <definedName name="TotalInvestment">Summary!$M$5</definedName>
    <definedName name="TotalNPV">Summary!$M$7</definedName>
    <definedName name="Zero">Summary!$AN$11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F33" i="22" l="1"/>
  <c r="BD33" i="22"/>
  <c r="BC33" i="22"/>
  <c r="BG33" i="22" s="1"/>
  <c r="BG32" i="22"/>
  <c r="BF32" i="22"/>
  <c r="BE32" i="22"/>
  <c r="BD32" i="22"/>
  <c r="BC32" i="22"/>
  <c r="BF31" i="22"/>
  <c r="BD31" i="22"/>
  <c r="BC31" i="22"/>
  <c r="BG31" i="22" s="1"/>
  <c r="BG30" i="22"/>
  <c r="BF30" i="22"/>
  <c r="BE30" i="22"/>
  <c r="BD30" i="22"/>
  <c r="BC30" i="22"/>
  <c r="BF29" i="22"/>
  <c r="BE29" i="22"/>
  <c r="BD29" i="22"/>
  <c r="BC29" i="22"/>
  <c r="BG29" i="22" s="1"/>
  <c r="BD28" i="22"/>
  <c r="BF28" i="22" s="1"/>
  <c r="BC28" i="22"/>
  <c r="BF27" i="22"/>
  <c r="BD27" i="22"/>
  <c r="BC27" i="22"/>
  <c r="BD26" i="22"/>
  <c r="BF26" i="22" s="1"/>
  <c r="BC26" i="22"/>
  <c r="BD25" i="22"/>
  <c r="BF25" i="22" s="1"/>
  <c r="BC25" i="22"/>
  <c r="BF24" i="22"/>
  <c r="BD24" i="22"/>
  <c r="BC24" i="22"/>
  <c r="BD23" i="22"/>
  <c r="BF23" i="22" s="1"/>
  <c r="BC23" i="22"/>
  <c r="BD22" i="22"/>
  <c r="BF22" i="22" s="1"/>
  <c r="BC22" i="22"/>
  <c r="BD21" i="22"/>
  <c r="BF21" i="22" s="1"/>
  <c r="BC21" i="22"/>
  <c r="BD20" i="22"/>
  <c r="BC20" i="22"/>
  <c r="BF19" i="22"/>
  <c r="BD19" i="22"/>
  <c r="BC19" i="22"/>
  <c r="BD18" i="22"/>
  <c r="BF18" i="22" s="1"/>
  <c r="BC18" i="22"/>
  <c r="BD17" i="22"/>
  <c r="BF17" i="22" s="1"/>
  <c r="BC17" i="22"/>
  <c r="BF16" i="22"/>
  <c r="BD16" i="22"/>
  <c r="BC16" i="22"/>
  <c r="BD15" i="22"/>
  <c r="BF15" i="22" s="1"/>
  <c r="BC15" i="22"/>
  <c r="BD14" i="22"/>
  <c r="BF14" i="22" s="1"/>
  <c r="BC14" i="22"/>
  <c r="BD13" i="22"/>
  <c r="BF13" i="22" s="1"/>
  <c r="BC13" i="22"/>
  <c r="BD12" i="22"/>
  <c r="BC12" i="22"/>
  <c r="BF11" i="22"/>
  <c r="BD11" i="22"/>
  <c r="BC11" i="22"/>
  <c r="BD10" i="22"/>
  <c r="BF10" i="22" s="1"/>
  <c r="BC10" i="22"/>
  <c r="BD9" i="22"/>
  <c r="BF9" i="22" s="1"/>
  <c r="BC9" i="22"/>
  <c r="BF8" i="22"/>
  <c r="BG8" i="22" s="1"/>
  <c r="BE8" i="22"/>
  <c r="BE9" i="22" s="1"/>
  <c r="BD8" i="22"/>
  <c r="BC8" i="22"/>
  <c r="BF33" i="21"/>
  <c r="BD33" i="21"/>
  <c r="BC33" i="21"/>
  <c r="BG33" i="21" s="1"/>
  <c r="BG32" i="21"/>
  <c r="BF32" i="21"/>
  <c r="BD32" i="21"/>
  <c r="BC32" i="21"/>
  <c r="BE32" i="21" s="1"/>
  <c r="BF31" i="21"/>
  <c r="BE31" i="21"/>
  <c r="BD31" i="21"/>
  <c r="BC31" i="21"/>
  <c r="BG31" i="21" s="1"/>
  <c r="BF30" i="21"/>
  <c r="BD30" i="21"/>
  <c r="BC30" i="21"/>
  <c r="BE30" i="21" s="1"/>
  <c r="BG29" i="21"/>
  <c r="BF29" i="21"/>
  <c r="BD29" i="21"/>
  <c r="BC29" i="21"/>
  <c r="BE29" i="21" s="1"/>
  <c r="BF28" i="21"/>
  <c r="BD28" i="21"/>
  <c r="BC28" i="21"/>
  <c r="BG28" i="21" s="1"/>
  <c r="BG27" i="21"/>
  <c r="BF27" i="21"/>
  <c r="BE27" i="21"/>
  <c r="BD27" i="21"/>
  <c r="BC27" i="21"/>
  <c r="BG26" i="21"/>
  <c r="BF26" i="21"/>
  <c r="BE26" i="21"/>
  <c r="BD26" i="21"/>
  <c r="BC26" i="21"/>
  <c r="BF25" i="21"/>
  <c r="BD25" i="21"/>
  <c r="BC25" i="21"/>
  <c r="BG25" i="21" s="1"/>
  <c r="BG24" i="21"/>
  <c r="BF24" i="21"/>
  <c r="BD24" i="21"/>
  <c r="BC24" i="21"/>
  <c r="BE24" i="21" s="1"/>
  <c r="BF23" i="21"/>
  <c r="BE23" i="21"/>
  <c r="BD23" i="21"/>
  <c r="BC23" i="21"/>
  <c r="BG23" i="21" s="1"/>
  <c r="BD22" i="21"/>
  <c r="BC22" i="21"/>
  <c r="BF22" i="21" s="1"/>
  <c r="BF21" i="21"/>
  <c r="BD21" i="21"/>
  <c r="BC21" i="21"/>
  <c r="BD20" i="21"/>
  <c r="BF20" i="21" s="1"/>
  <c r="BC20" i="21"/>
  <c r="BD19" i="21"/>
  <c r="BF19" i="21" s="1"/>
  <c r="BC19" i="21"/>
  <c r="BF18" i="21"/>
  <c r="BD18" i="21"/>
  <c r="BC18" i="21"/>
  <c r="BD17" i="21"/>
  <c r="BF17" i="21" s="1"/>
  <c r="BC17" i="21"/>
  <c r="BD16" i="21"/>
  <c r="BF16" i="21" s="1"/>
  <c r="BC16" i="21"/>
  <c r="BD15" i="21"/>
  <c r="BF15" i="21" s="1"/>
  <c r="BC15" i="21"/>
  <c r="BD14" i="21"/>
  <c r="BF14" i="21" s="1"/>
  <c r="BC14" i="21"/>
  <c r="BF13" i="21"/>
  <c r="BD13" i="21"/>
  <c r="BC13" i="21"/>
  <c r="BD12" i="21"/>
  <c r="BF12" i="21" s="1"/>
  <c r="BC12" i="21"/>
  <c r="BD11" i="21"/>
  <c r="BF11" i="21" s="1"/>
  <c r="BC11" i="21"/>
  <c r="BF10" i="21"/>
  <c r="BD10" i="21"/>
  <c r="BC10" i="21"/>
  <c r="BD9" i="21"/>
  <c r="BF9" i="21" s="1"/>
  <c r="BC9" i="21"/>
  <c r="BG9" i="21" s="1"/>
  <c r="BG10" i="21" s="1"/>
  <c r="BD8" i="21"/>
  <c r="BF8" i="21" s="1"/>
  <c r="BG8" i="21" s="1"/>
  <c r="BC8" i="21"/>
  <c r="BG33" i="20"/>
  <c r="BF33" i="20"/>
  <c r="BE33" i="20"/>
  <c r="BD33" i="20"/>
  <c r="BC33" i="20"/>
  <c r="BF32" i="20"/>
  <c r="BE32" i="20"/>
  <c r="BD32" i="20"/>
  <c r="BC32" i="20"/>
  <c r="BG32" i="20" s="1"/>
  <c r="BG31" i="20"/>
  <c r="BF31" i="20"/>
  <c r="BD31" i="20"/>
  <c r="BC31" i="20"/>
  <c r="BE31" i="20" s="1"/>
  <c r="BF30" i="20"/>
  <c r="BD30" i="20"/>
  <c r="BC30" i="20"/>
  <c r="BE30" i="20" s="1"/>
  <c r="BF29" i="20"/>
  <c r="BD29" i="20"/>
  <c r="BC29" i="20"/>
  <c r="BG29" i="20" s="1"/>
  <c r="BG28" i="20"/>
  <c r="BF28" i="20"/>
  <c r="BE28" i="20"/>
  <c r="BD28" i="20"/>
  <c r="BC28" i="20"/>
  <c r="BF27" i="20"/>
  <c r="BE27" i="20"/>
  <c r="BD27" i="20"/>
  <c r="BC27" i="20"/>
  <c r="BG27" i="20" s="1"/>
  <c r="BG26" i="20"/>
  <c r="BF26" i="20"/>
  <c r="BD26" i="20"/>
  <c r="BC26" i="20"/>
  <c r="BE26" i="20" s="1"/>
  <c r="BG25" i="20"/>
  <c r="BF25" i="20"/>
  <c r="BE25" i="20"/>
  <c r="BD25" i="20"/>
  <c r="BC25" i="20"/>
  <c r="BF24" i="20"/>
  <c r="BE24" i="20"/>
  <c r="BD24" i="20"/>
  <c r="BC24" i="20"/>
  <c r="BG24" i="20" s="1"/>
  <c r="BF23" i="20"/>
  <c r="BD23" i="20"/>
  <c r="BC23" i="20"/>
  <c r="BD22" i="20"/>
  <c r="BC22" i="20"/>
  <c r="BD21" i="20"/>
  <c r="BF21" i="20" s="1"/>
  <c r="BC21" i="20"/>
  <c r="BF20" i="20"/>
  <c r="BD20" i="20"/>
  <c r="BC20" i="20"/>
  <c r="BF19" i="20"/>
  <c r="BD19" i="20"/>
  <c r="BC19" i="20"/>
  <c r="BD18" i="20"/>
  <c r="BF18" i="20" s="1"/>
  <c r="BC18" i="20"/>
  <c r="BD17" i="20"/>
  <c r="BF17" i="20" s="1"/>
  <c r="BC17" i="20"/>
  <c r="BD16" i="20"/>
  <c r="BF16" i="20" s="1"/>
  <c r="BC16" i="20"/>
  <c r="BF15" i="20"/>
  <c r="BD15" i="20"/>
  <c r="BC15" i="20"/>
  <c r="BD14" i="20"/>
  <c r="BC14" i="20"/>
  <c r="BD13" i="20"/>
  <c r="BF13" i="20" s="1"/>
  <c r="BC13" i="20"/>
  <c r="BF12" i="20"/>
  <c r="BD12" i="20"/>
  <c r="BC12" i="20"/>
  <c r="BF11" i="20"/>
  <c r="BD11" i="20"/>
  <c r="BC11" i="20"/>
  <c r="BD10" i="20"/>
  <c r="BF10" i="20" s="1"/>
  <c r="BC10" i="20"/>
  <c r="BD9" i="20"/>
  <c r="BF9" i="20" s="1"/>
  <c r="BC9" i="20"/>
  <c r="BD8" i="20"/>
  <c r="BE8" i="20" s="1"/>
  <c r="BE9" i="20" s="1"/>
  <c r="BC8" i="20"/>
  <c r="BF33" i="19"/>
  <c r="BE33" i="19"/>
  <c r="BD33" i="19"/>
  <c r="BC33" i="19"/>
  <c r="BG33" i="19" s="1"/>
  <c r="BF32" i="19"/>
  <c r="BE32" i="19"/>
  <c r="BD32" i="19"/>
  <c r="BC32" i="19"/>
  <c r="BG32" i="19" s="1"/>
  <c r="BG31" i="19"/>
  <c r="BF31" i="19"/>
  <c r="BD31" i="19"/>
  <c r="BC31" i="19"/>
  <c r="BE31" i="19" s="1"/>
  <c r="BG30" i="19"/>
  <c r="BF30" i="19"/>
  <c r="BE30" i="19"/>
  <c r="BD30" i="19"/>
  <c r="BC30" i="19"/>
  <c r="BF29" i="19"/>
  <c r="BE29" i="19"/>
  <c r="BD29" i="19"/>
  <c r="BC29" i="19"/>
  <c r="BG29" i="19" s="1"/>
  <c r="BG28" i="19"/>
  <c r="BF28" i="19"/>
  <c r="BE28" i="19"/>
  <c r="BD28" i="19"/>
  <c r="BC28" i="19"/>
  <c r="BF27" i="19"/>
  <c r="BD27" i="19"/>
  <c r="BC27" i="19"/>
  <c r="BE27" i="19" s="1"/>
  <c r="BF26" i="19"/>
  <c r="BD26" i="19"/>
  <c r="BC26" i="19"/>
  <c r="BG26" i="19" s="1"/>
  <c r="BF25" i="19"/>
  <c r="BE25" i="19"/>
  <c r="BD25" i="19"/>
  <c r="BC25" i="19"/>
  <c r="BG25" i="19" s="1"/>
  <c r="BF24" i="19"/>
  <c r="BE24" i="19"/>
  <c r="BD24" i="19"/>
  <c r="BC24" i="19"/>
  <c r="BG24" i="19" s="1"/>
  <c r="BG23" i="19"/>
  <c r="BF23" i="19"/>
  <c r="BD23" i="19"/>
  <c r="BC23" i="19"/>
  <c r="BE23" i="19" s="1"/>
  <c r="BG22" i="19"/>
  <c r="BF22" i="19"/>
  <c r="BE22" i="19"/>
  <c r="BD22" i="19"/>
  <c r="BC22" i="19"/>
  <c r="BD21" i="19"/>
  <c r="BF21" i="19" s="1"/>
  <c r="BC21" i="19"/>
  <c r="BF20" i="19"/>
  <c r="BD20" i="19"/>
  <c r="BC20" i="19"/>
  <c r="BD19" i="19"/>
  <c r="BC19" i="19"/>
  <c r="BD18" i="19"/>
  <c r="BF18" i="19" s="1"/>
  <c r="BC18" i="19"/>
  <c r="BF17" i="19"/>
  <c r="BD17" i="19"/>
  <c r="BC17" i="19"/>
  <c r="BF16" i="19"/>
  <c r="BD16" i="19"/>
  <c r="BC16" i="19"/>
  <c r="BD15" i="19"/>
  <c r="BC15" i="19"/>
  <c r="BF15" i="19" s="1"/>
  <c r="BD14" i="19"/>
  <c r="BF14" i="19" s="1"/>
  <c r="BC14" i="19"/>
  <c r="BD13" i="19"/>
  <c r="BF13" i="19" s="1"/>
  <c r="BC13" i="19"/>
  <c r="BF12" i="19"/>
  <c r="BD12" i="19"/>
  <c r="BC12" i="19"/>
  <c r="BD11" i="19"/>
  <c r="BC11" i="19"/>
  <c r="BD10" i="19"/>
  <c r="BF10" i="19" s="1"/>
  <c r="BC10" i="19"/>
  <c r="BF9" i="19"/>
  <c r="BE9" i="19"/>
  <c r="BD9" i="19"/>
  <c r="BC9" i="19"/>
  <c r="BG9" i="19" s="1"/>
  <c r="BF8" i="19"/>
  <c r="BG8" i="19" s="1"/>
  <c r="BE8" i="19"/>
  <c r="BD8" i="19"/>
  <c r="BC8" i="19"/>
  <c r="BF33" i="18"/>
  <c r="BD33" i="18"/>
  <c r="BC33" i="18"/>
  <c r="BG33" i="18" s="1"/>
  <c r="BG32" i="18"/>
  <c r="BF32" i="18"/>
  <c r="BE32" i="18"/>
  <c r="BD32" i="18"/>
  <c r="BC32" i="18"/>
  <c r="BF31" i="18"/>
  <c r="BD31" i="18"/>
  <c r="BC31" i="18"/>
  <c r="BG31" i="18" s="1"/>
  <c r="BG30" i="18"/>
  <c r="BF30" i="18"/>
  <c r="BD30" i="18"/>
  <c r="BC30" i="18"/>
  <c r="BE30" i="18" s="1"/>
  <c r="BF29" i="18"/>
  <c r="BD29" i="18"/>
  <c r="BC29" i="18"/>
  <c r="BG29" i="18" s="1"/>
  <c r="BF28" i="18"/>
  <c r="BD28" i="18"/>
  <c r="BC28" i="18"/>
  <c r="BE28" i="18" s="1"/>
  <c r="BF27" i="18"/>
  <c r="BD27" i="18"/>
  <c r="BC27" i="18"/>
  <c r="BE27" i="18" s="1"/>
  <c r="BF26" i="18"/>
  <c r="BE26" i="18"/>
  <c r="BD26" i="18"/>
  <c r="BC26" i="18"/>
  <c r="BG26" i="18" s="1"/>
  <c r="BF25" i="18"/>
  <c r="BD25" i="18"/>
  <c r="BC25" i="18"/>
  <c r="BG25" i="18" s="1"/>
  <c r="BG24" i="18"/>
  <c r="BF24" i="18"/>
  <c r="BE24" i="18"/>
  <c r="BD24" i="18"/>
  <c r="BC24" i="18"/>
  <c r="BF23" i="18"/>
  <c r="BD23" i="18"/>
  <c r="BC23" i="18"/>
  <c r="BG23" i="18" s="1"/>
  <c r="BG22" i="18"/>
  <c r="BF22" i="18"/>
  <c r="BD22" i="18"/>
  <c r="BC22" i="18"/>
  <c r="BE22" i="18" s="1"/>
  <c r="BF21" i="18"/>
  <c r="BD21" i="18"/>
  <c r="BC21" i="18"/>
  <c r="BG21" i="18" s="1"/>
  <c r="BD20" i="18"/>
  <c r="BF20" i="18" s="1"/>
  <c r="BC20" i="18"/>
  <c r="BF19" i="18"/>
  <c r="BD19" i="18"/>
  <c r="BC19" i="18"/>
  <c r="BD18" i="18"/>
  <c r="BC18" i="18"/>
  <c r="BD17" i="18"/>
  <c r="BF17" i="18" s="1"/>
  <c r="BC17" i="18"/>
  <c r="BD16" i="18"/>
  <c r="BC16" i="18"/>
  <c r="BF16" i="18" s="1"/>
  <c r="BD15" i="18"/>
  <c r="BF15" i="18" s="1"/>
  <c r="BC15" i="18"/>
  <c r="BD14" i="18"/>
  <c r="BF14" i="18" s="1"/>
  <c r="BC14" i="18"/>
  <c r="BD13" i="18"/>
  <c r="BF13" i="18" s="1"/>
  <c r="BC13" i="18"/>
  <c r="BD12" i="18"/>
  <c r="BF12" i="18" s="1"/>
  <c r="BC12" i="18"/>
  <c r="BF11" i="18"/>
  <c r="BD11" i="18"/>
  <c r="BC11" i="18"/>
  <c r="BD10" i="18"/>
  <c r="BC10" i="18"/>
  <c r="BD9" i="18"/>
  <c r="BF9" i="18" s="1"/>
  <c r="BC9" i="18"/>
  <c r="BG9" i="18" s="1"/>
  <c r="BE8" i="18"/>
  <c r="BD8" i="18"/>
  <c r="BF8" i="18" s="1"/>
  <c r="BG8" i="18" s="1"/>
  <c r="BC8" i="18"/>
  <c r="BF33" i="15"/>
  <c r="BD33" i="15"/>
  <c r="BC33" i="15"/>
  <c r="BG33" i="15" s="1"/>
  <c r="BF32" i="15"/>
  <c r="BE32" i="15"/>
  <c r="BD32" i="15"/>
  <c r="BC32" i="15"/>
  <c r="BG32" i="15" s="1"/>
  <c r="BF31" i="15"/>
  <c r="BE31" i="15"/>
  <c r="BD31" i="15"/>
  <c r="BC31" i="15"/>
  <c r="BG31" i="15" s="1"/>
  <c r="BG30" i="15"/>
  <c r="BF30" i="15"/>
  <c r="BD30" i="15"/>
  <c r="BC30" i="15"/>
  <c r="BE30" i="15" s="1"/>
  <c r="BG29" i="15"/>
  <c r="BF29" i="15"/>
  <c r="BD29" i="15"/>
  <c r="BC29" i="15"/>
  <c r="BE29" i="15" s="1"/>
  <c r="BG28" i="15"/>
  <c r="BF28" i="15"/>
  <c r="BE28" i="15"/>
  <c r="BD28" i="15"/>
  <c r="BC28" i="15"/>
  <c r="BF27" i="15"/>
  <c r="BE27" i="15"/>
  <c r="BD27" i="15"/>
  <c r="BC27" i="15"/>
  <c r="BG27" i="15" s="1"/>
  <c r="BF26" i="15"/>
  <c r="BD26" i="15"/>
  <c r="BC26" i="15"/>
  <c r="BG26" i="15" s="1"/>
  <c r="BF25" i="15"/>
  <c r="BD25" i="15"/>
  <c r="BC25" i="15"/>
  <c r="BG25" i="15" s="1"/>
  <c r="BF24" i="15"/>
  <c r="BE24" i="15"/>
  <c r="BD24" i="15"/>
  <c r="BC24" i="15"/>
  <c r="BG24" i="15" s="1"/>
  <c r="BF23" i="15"/>
  <c r="BE23" i="15"/>
  <c r="BD23" i="15"/>
  <c r="BC23" i="15"/>
  <c r="BG23" i="15" s="1"/>
  <c r="BG22" i="15"/>
  <c r="BF22" i="15"/>
  <c r="BD22" i="15"/>
  <c r="BC22" i="15"/>
  <c r="BE22" i="15" s="1"/>
  <c r="BG21" i="15"/>
  <c r="BF21" i="15"/>
  <c r="BD21" i="15"/>
  <c r="BC21" i="15"/>
  <c r="BE21" i="15" s="1"/>
  <c r="BG20" i="15"/>
  <c r="BF20" i="15"/>
  <c r="BE20" i="15"/>
  <c r="BD20" i="15"/>
  <c r="BC20" i="15"/>
  <c r="BF19" i="15"/>
  <c r="BE19" i="15"/>
  <c r="BD19" i="15"/>
  <c r="BC19" i="15"/>
  <c r="BG19" i="15" s="1"/>
  <c r="BF18" i="15"/>
  <c r="BD18" i="15"/>
  <c r="BC18" i="15"/>
  <c r="BG18" i="15" s="1"/>
  <c r="BF17" i="15"/>
  <c r="BD17" i="15"/>
  <c r="BC17" i="15"/>
  <c r="BG17" i="15" s="1"/>
  <c r="BF16" i="15"/>
  <c r="BE16" i="15"/>
  <c r="BD16" i="15"/>
  <c r="BC16" i="15"/>
  <c r="BG16" i="15" s="1"/>
  <c r="BD15" i="15"/>
  <c r="BF15" i="15" s="1"/>
  <c r="BC15" i="15"/>
  <c r="BD14" i="15"/>
  <c r="BF14" i="15" s="1"/>
  <c r="BC14" i="15"/>
  <c r="BD13" i="15"/>
  <c r="BF13" i="15" s="1"/>
  <c r="BC13" i="15"/>
  <c r="BD12" i="15"/>
  <c r="BF12" i="15" s="1"/>
  <c r="BC12" i="15"/>
  <c r="BF11" i="15"/>
  <c r="BD11" i="15"/>
  <c r="BC11" i="15"/>
  <c r="BD10" i="15"/>
  <c r="BC10" i="15"/>
  <c r="BF10" i="15" s="1"/>
  <c r="BD9" i="15"/>
  <c r="BC9" i="15"/>
  <c r="BE8" i="15"/>
  <c r="BD8" i="15"/>
  <c r="BF8" i="15" s="1"/>
  <c r="BG8" i="15" s="1"/>
  <c r="BC8" i="15"/>
  <c r="BG33" i="14"/>
  <c r="BF33" i="14"/>
  <c r="BE33" i="14"/>
  <c r="BD33" i="14"/>
  <c r="BC33" i="14"/>
  <c r="BF32" i="14"/>
  <c r="BD32" i="14"/>
  <c r="BC32" i="14"/>
  <c r="BG32" i="14" s="1"/>
  <c r="BG31" i="14"/>
  <c r="BF31" i="14"/>
  <c r="BE31" i="14"/>
  <c r="BD31" i="14"/>
  <c r="BC31" i="14"/>
  <c r="BG30" i="14"/>
  <c r="BF30" i="14"/>
  <c r="BE30" i="14"/>
  <c r="BD30" i="14"/>
  <c r="BC30" i="14"/>
  <c r="BF29" i="14"/>
  <c r="BD29" i="14"/>
  <c r="BC29" i="14"/>
  <c r="BG29" i="14" s="1"/>
  <c r="BG28" i="14"/>
  <c r="BF28" i="14"/>
  <c r="BD28" i="14"/>
  <c r="BC28" i="14"/>
  <c r="BE28" i="14" s="1"/>
  <c r="BF27" i="14"/>
  <c r="BD27" i="14"/>
  <c r="BC27" i="14"/>
  <c r="BG27" i="14" s="1"/>
  <c r="BF26" i="14"/>
  <c r="BE26" i="14"/>
  <c r="BD26" i="14"/>
  <c r="BC26" i="14"/>
  <c r="BG26" i="14" s="1"/>
  <c r="BG25" i="14"/>
  <c r="BF25" i="14"/>
  <c r="BE25" i="14"/>
  <c r="BD25" i="14"/>
  <c r="BC25" i="14"/>
  <c r="BF24" i="14"/>
  <c r="BD24" i="14"/>
  <c r="BC24" i="14"/>
  <c r="BG24" i="14" s="1"/>
  <c r="BG23" i="14"/>
  <c r="BF23" i="14"/>
  <c r="BE23" i="14"/>
  <c r="BD23" i="14"/>
  <c r="BC23" i="14"/>
  <c r="BG22" i="14"/>
  <c r="BF22" i="14"/>
  <c r="BE22" i="14"/>
  <c r="BD22" i="14"/>
  <c r="BC22" i="14"/>
  <c r="BF21" i="14"/>
  <c r="BD21" i="14"/>
  <c r="BC21" i="14"/>
  <c r="BG21" i="14" s="1"/>
  <c r="BF20" i="14"/>
  <c r="BD20" i="14"/>
  <c r="BC20" i="14"/>
  <c r="BD19" i="14"/>
  <c r="BF19" i="14" s="1"/>
  <c r="BC19" i="14"/>
  <c r="BF18" i="14"/>
  <c r="BD18" i="14"/>
  <c r="BC18" i="14"/>
  <c r="BF17" i="14"/>
  <c r="BD17" i="14"/>
  <c r="BC17" i="14"/>
  <c r="BD16" i="14"/>
  <c r="BF16" i="14" s="1"/>
  <c r="BC16" i="14"/>
  <c r="BD15" i="14"/>
  <c r="BF15" i="14" s="1"/>
  <c r="BC15" i="14"/>
  <c r="BD14" i="14"/>
  <c r="BF14" i="14" s="1"/>
  <c r="BC14" i="14"/>
  <c r="BF13" i="14"/>
  <c r="BD13" i="14"/>
  <c r="BC13" i="14"/>
  <c r="BF12" i="14"/>
  <c r="BD12" i="14"/>
  <c r="BC12" i="14"/>
  <c r="BD11" i="14"/>
  <c r="BF11" i="14" s="1"/>
  <c r="BC11" i="14"/>
  <c r="BF10" i="14"/>
  <c r="BD10" i="14"/>
  <c r="BC10" i="14"/>
  <c r="BG10" i="14" s="1"/>
  <c r="BF9" i="14"/>
  <c r="BD9" i="14"/>
  <c r="BC9" i="14"/>
  <c r="BD8" i="14"/>
  <c r="BF8" i="14" s="1"/>
  <c r="BG8" i="14" s="1"/>
  <c r="BG9" i="14" s="1"/>
  <c r="BC8" i="14"/>
  <c r="BF33" i="12"/>
  <c r="BD33" i="12"/>
  <c r="BC33" i="12"/>
  <c r="BG33" i="12" s="1"/>
  <c r="BF32" i="12"/>
  <c r="BE32" i="12"/>
  <c r="BD32" i="12"/>
  <c r="BC32" i="12"/>
  <c r="BG32" i="12" s="1"/>
  <c r="BF31" i="12"/>
  <c r="BD31" i="12"/>
  <c r="BC31" i="12"/>
  <c r="BG31" i="12" s="1"/>
  <c r="BF30" i="12"/>
  <c r="BD30" i="12"/>
  <c r="BC30" i="12"/>
  <c r="BE30" i="12" s="1"/>
  <c r="BF29" i="12"/>
  <c r="BD29" i="12"/>
  <c r="BC29" i="12"/>
  <c r="BG29" i="12" s="1"/>
  <c r="BG28" i="12"/>
  <c r="BF28" i="12"/>
  <c r="BE28" i="12"/>
  <c r="BD28" i="12"/>
  <c r="BC28" i="12"/>
  <c r="BF27" i="12"/>
  <c r="BE27" i="12"/>
  <c r="BD27" i="12"/>
  <c r="BC27" i="12"/>
  <c r="BG27" i="12" s="1"/>
  <c r="BG26" i="12"/>
  <c r="BF26" i="12"/>
  <c r="BD26" i="12"/>
  <c r="BC26" i="12"/>
  <c r="BE26" i="12" s="1"/>
  <c r="BF25" i="12"/>
  <c r="BD25" i="12"/>
  <c r="BC25" i="12"/>
  <c r="BG25" i="12" s="1"/>
  <c r="BF24" i="12"/>
  <c r="BD24" i="12"/>
  <c r="BC24" i="12"/>
  <c r="BE24" i="12" s="1"/>
  <c r="BF23" i="12"/>
  <c r="BD23" i="12"/>
  <c r="BC23" i="12"/>
  <c r="BD22" i="12"/>
  <c r="BC22" i="12"/>
  <c r="BF22" i="12" s="1"/>
  <c r="BD21" i="12"/>
  <c r="BF21" i="12" s="1"/>
  <c r="BC21" i="12"/>
  <c r="BD20" i="12"/>
  <c r="BF20" i="12" s="1"/>
  <c r="BC20" i="12"/>
  <c r="BD19" i="12"/>
  <c r="BF19" i="12" s="1"/>
  <c r="BC19" i="12"/>
  <c r="BD18" i="12"/>
  <c r="BC18" i="12"/>
  <c r="BF18" i="12" s="1"/>
  <c r="BD17" i="12"/>
  <c r="BF17" i="12" s="1"/>
  <c r="BC17" i="12"/>
  <c r="BD16" i="12"/>
  <c r="BF16" i="12" s="1"/>
  <c r="BC16" i="12"/>
  <c r="BF15" i="12"/>
  <c r="BD15" i="12"/>
  <c r="BC15" i="12"/>
  <c r="BD14" i="12"/>
  <c r="BF14" i="12" s="1"/>
  <c r="BC14" i="12"/>
  <c r="BD13" i="12"/>
  <c r="BF13" i="12" s="1"/>
  <c r="BC13" i="12"/>
  <c r="BD12" i="12"/>
  <c r="BF12" i="12" s="1"/>
  <c r="BC12" i="12"/>
  <c r="BD11" i="12"/>
  <c r="BF11" i="12" s="1"/>
  <c r="BC11" i="12"/>
  <c r="BD10" i="12"/>
  <c r="BC10" i="12"/>
  <c r="BF10" i="12" s="1"/>
  <c r="BD9" i="12"/>
  <c r="BF9" i="12" s="1"/>
  <c r="BC9" i="12"/>
  <c r="BE8" i="12"/>
  <c r="BD8" i="12"/>
  <c r="BF8" i="12" s="1"/>
  <c r="BG8" i="12" s="1"/>
  <c r="BC8" i="12"/>
  <c r="BF33" i="11"/>
  <c r="BD33" i="11"/>
  <c r="BC33" i="11"/>
  <c r="BG33" i="11" s="1"/>
  <c r="BG32" i="11"/>
  <c r="BF32" i="11"/>
  <c r="BE32" i="11"/>
  <c r="BD32" i="11"/>
  <c r="BC32" i="11"/>
  <c r="BF31" i="11"/>
  <c r="BD31" i="11"/>
  <c r="BC31" i="11"/>
  <c r="BG31" i="11" s="1"/>
  <c r="BG30" i="11"/>
  <c r="BF30" i="11"/>
  <c r="BD30" i="11"/>
  <c r="BC30" i="11"/>
  <c r="BE30" i="11" s="1"/>
  <c r="BF29" i="11"/>
  <c r="BE29" i="11"/>
  <c r="BD29" i="11"/>
  <c r="BC29" i="11"/>
  <c r="BG29" i="11" s="1"/>
  <c r="BF28" i="11"/>
  <c r="BD28" i="11"/>
  <c r="BC28" i="11"/>
  <c r="BG28" i="11" s="1"/>
  <c r="BG27" i="11"/>
  <c r="BF27" i="11"/>
  <c r="BD27" i="11"/>
  <c r="BC27" i="11"/>
  <c r="BE27" i="11" s="1"/>
  <c r="BF26" i="11"/>
  <c r="BD26" i="11"/>
  <c r="BC26" i="11"/>
  <c r="BE26" i="11" s="1"/>
  <c r="BF25" i="11"/>
  <c r="BD25" i="11"/>
  <c r="BC25" i="11"/>
  <c r="BG25" i="11" s="1"/>
  <c r="BG24" i="11"/>
  <c r="BF24" i="11"/>
  <c r="BE24" i="11"/>
  <c r="BD24" i="11"/>
  <c r="BC24" i="11"/>
  <c r="BF23" i="11"/>
  <c r="BD23" i="11"/>
  <c r="BC23" i="11"/>
  <c r="BG23" i="11" s="1"/>
  <c r="BG22" i="11"/>
  <c r="BF22" i="11"/>
  <c r="BD22" i="11"/>
  <c r="BC22" i="11"/>
  <c r="BE22" i="11" s="1"/>
  <c r="BF21" i="11"/>
  <c r="BE21" i="11"/>
  <c r="BD21" i="11"/>
  <c r="BC21" i="11"/>
  <c r="BG21" i="11" s="1"/>
  <c r="BF20" i="11"/>
  <c r="BD20" i="11"/>
  <c r="BC20" i="11"/>
  <c r="BG20" i="11" s="1"/>
  <c r="BG19" i="11"/>
  <c r="BF19" i="11"/>
  <c r="BD19" i="11"/>
  <c r="BC19" i="11"/>
  <c r="BE19" i="11" s="1"/>
  <c r="BD18" i="11"/>
  <c r="BF18" i="11" s="1"/>
  <c r="BC18" i="11"/>
  <c r="BD17" i="11"/>
  <c r="BF17" i="11" s="1"/>
  <c r="BC17" i="11"/>
  <c r="BF16" i="11"/>
  <c r="BD16" i="11"/>
  <c r="BC16" i="11"/>
  <c r="BD15" i="11"/>
  <c r="BF15" i="11" s="1"/>
  <c r="BC15" i="11"/>
  <c r="BD14" i="11"/>
  <c r="BF14" i="11" s="1"/>
  <c r="BC14" i="11"/>
  <c r="BD13" i="11"/>
  <c r="BF13" i="11" s="1"/>
  <c r="BC13" i="11"/>
  <c r="BD12" i="11"/>
  <c r="BF12" i="11" s="1"/>
  <c r="BC12" i="11"/>
  <c r="BF11" i="11"/>
  <c r="BD11" i="11"/>
  <c r="BC11" i="11"/>
  <c r="BD10" i="11"/>
  <c r="BF10" i="11" s="1"/>
  <c r="BC10" i="11"/>
  <c r="BD9" i="11"/>
  <c r="BF9" i="11" s="1"/>
  <c r="BC9" i="11"/>
  <c r="BG9" i="11" s="1"/>
  <c r="BF8" i="11"/>
  <c r="BG8" i="11" s="1"/>
  <c r="BE8" i="11"/>
  <c r="BE9" i="11" s="1"/>
  <c r="BD8" i="11"/>
  <c r="BC8" i="11"/>
  <c r="BD8" i="9"/>
  <c r="BF8" i="9" s="1"/>
  <c r="BG8" i="9" s="1"/>
  <c r="BC8" i="9"/>
  <c r="BE11" i="22" l="1"/>
  <c r="BE12" i="22" s="1"/>
  <c r="BE13" i="22" s="1"/>
  <c r="BE14" i="22" s="1"/>
  <c r="BE15" i="22" s="1"/>
  <c r="BE16" i="22" s="1"/>
  <c r="BE17" i="22" s="1"/>
  <c r="BE18" i="22" s="1"/>
  <c r="BE19" i="22" s="1"/>
  <c r="BE20" i="22" s="1"/>
  <c r="BE21" i="22" s="1"/>
  <c r="BE22" i="22" s="1"/>
  <c r="BE23" i="22" s="1"/>
  <c r="BE24" i="22" s="1"/>
  <c r="BE25" i="22" s="1"/>
  <c r="BE26" i="22" s="1"/>
  <c r="BE27" i="22" s="1"/>
  <c r="BE28" i="22" s="1"/>
  <c r="BG9" i="22"/>
  <c r="BG10" i="22" s="1"/>
  <c r="BG11" i="22" s="1"/>
  <c r="BG12" i="22" s="1"/>
  <c r="BG13" i="22" s="1"/>
  <c r="BG14" i="22" s="1"/>
  <c r="BG15" i="22" s="1"/>
  <c r="BG16" i="22" s="1"/>
  <c r="BG17" i="22" s="1"/>
  <c r="BG18" i="22" s="1"/>
  <c r="BG19" i="22" s="1"/>
  <c r="BG20" i="22" s="1"/>
  <c r="BG21" i="22" s="1"/>
  <c r="BG22" i="22" s="1"/>
  <c r="BG23" i="22" s="1"/>
  <c r="BG24" i="22" s="1"/>
  <c r="BG25" i="22" s="1"/>
  <c r="BG26" i="22" s="1"/>
  <c r="BG27" i="22" s="1"/>
  <c r="BG28" i="22" s="1"/>
  <c r="BE10" i="22"/>
  <c r="BE31" i="22"/>
  <c r="BF12" i="22"/>
  <c r="BF20" i="22"/>
  <c r="BE33" i="22"/>
  <c r="BE11" i="21"/>
  <c r="BE13" i="21"/>
  <c r="BE14" i="21" s="1"/>
  <c r="BE15" i="21" s="1"/>
  <c r="BE16" i="21" s="1"/>
  <c r="BE17" i="21" s="1"/>
  <c r="BE18" i="21" s="1"/>
  <c r="BE19" i="21" s="1"/>
  <c r="BE20" i="21" s="1"/>
  <c r="BE21" i="21" s="1"/>
  <c r="BE22" i="21" s="1"/>
  <c r="BE8" i="21"/>
  <c r="BG30" i="21"/>
  <c r="BG11" i="21"/>
  <c r="BG12" i="21" s="1"/>
  <c r="BG13" i="21" s="1"/>
  <c r="BG14" i="21" s="1"/>
  <c r="BG15" i="21" s="1"/>
  <c r="BG16" i="21" s="1"/>
  <c r="BG17" i="21" s="1"/>
  <c r="BG18" i="21" s="1"/>
  <c r="BG19" i="21" s="1"/>
  <c r="BG20" i="21" s="1"/>
  <c r="BG21" i="21" s="1"/>
  <c r="BG22" i="21" s="1"/>
  <c r="BE12" i="21"/>
  <c r="BE28" i="21"/>
  <c r="BE9" i="21"/>
  <c r="BE10" i="21" s="1"/>
  <c r="BE25" i="21"/>
  <c r="BE33" i="21"/>
  <c r="BE10" i="20"/>
  <c r="BE11" i="20" s="1"/>
  <c r="BE12" i="20" s="1"/>
  <c r="BE13" i="20" s="1"/>
  <c r="BE14" i="20" s="1"/>
  <c r="BE15" i="20" s="1"/>
  <c r="BE16" i="20" s="1"/>
  <c r="BE17" i="20" s="1"/>
  <c r="BE18" i="20" s="1"/>
  <c r="BE19" i="20" s="1"/>
  <c r="BE20" i="20" s="1"/>
  <c r="BE21" i="20" s="1"/>
  <c r="BE22" i="20" s="1"/>
  <c r="BE23" i="20" s="1"/>
  <c r="BG30" i="20"/>
  <c r="BF8" i="20"/>
  <c r="BG8" i="20" s="1"/>
  <c r="BG9" i="20" s="1"/>
  <c r="BG10" i="20" s="1"/>
  <c r="BG11" i="20" s="1"/>
  <c r="BG12" i="20" s="1"/>
  <c r="BG13" i="20" s="1"/>
  <c r="BG14" i="20" s="1"/>
  <c r="BG15" i="20" s="1"/>
  <c r="BG16" i="20" s="1"/>
  <c r="BG17" i="20" s="1"/>
  <c r="BG18" i="20" s="1"/>
  <c r="BG19" i="20" s="1"/>
  <c r="BG20" i="20" s="1"/>
  <c r="BG21" i="20" s="1"/>
  <c r="BG22" i="20" s="1"/>
  <c r="BG23" i="20" s="1"/>
  <c r="BF14" i="20"/>
  <c r="BF22" i="20"/>
  <c r="BE29" i="20"/>
  <c r="BG10" i="19"/>
  <c r="BG11" i="19"/>
  <c r="BG12" i="19" s="1"/>
  <c r="BG13" i="19" s="1"/>
  <c r="BG14" i="19" s="1"/>
  <c r="BG15" i="19" s="1"/>
  <c r="BG16" i="19" s="1"/>
  <c r="BG17" i="19" s="1"/>
  <c r="BG18" i="19" s="1"/>
  <c r="BG19" i="19" s="1"/>
  <c r="BG20" i="19" s="1"/>
  <c r="BG21" i="19" s="1"/>
  <c r="BE10" i="19"/>
  <c r="BE11" i="19" s="1"/>
  <c r="BE12" i="19" s="1"/>
  <c r="BE13" i="19" s="1"/>
  <c r="BE14" i="19" s="1"/>
  <c r="BE15" i="19" s="1"/>
  <c r="BE16" i="19" s="1"/>
  <c r="BE17" i="19" s="1"/>
  <c r="BE18" i="19" s="1"/>
  <c r="BE19" i="19" s="1"/>
  <c r="BE20" i="19" s="1"/>
  <c r="BE21" i="19" s="1"/>
  <c r="BE26" i="19"/>
  <c r="BG27" i="19"/>
  <c r="BF11" i="19"/>
  <c r="BF19" i="19"/>
  <c r="BE21" i="18"/>
  <c r="BG27" i="18"/>
  <c r="BE29" i="18"/>
  <c r="BF10" i="18"/>
  <c r="BG10" i="18" s="1"/>
  <c r="BG11" i="18" s="1"/>
  <c r="BG12" i="18" s="1"/>
  <c r="BG13" i="18" s="1"/>
  <c r="BG14" i="18" s="1"/>
  <c r="BG15" i="18" s="1"/>
  <c r="BG16" i="18" s="1"/>
  <c r="BG17" i="18" s="1"/>
  <c r="BG18" i="18" s="1"/>
  <c r="BG19" i="18" s="1"/>
  <c r="BG20" i="18" s="1"/>
  <c r="BF18" i="18"/>
  <c r="BE23" i="18"/>
  <c r="BE31" i="18"/>
  <c r="BE9" i="18"/>
  <c r="BE10" i="18" s="1"/>
  <c r="BE11" i="18" s="1"/>
  <c r="BE12" i="18" s="1"/>
  <c r="BE13" i="18" s="1"/>
  <c r="BE14" i="18" s="1"/>
  <c r="BE15" i="18" s="1"/>
  <c r="BE16" i="18" s="1"/>
  <c r="BE17" i="18" s="1"/>
  <c r="BE18" i="18" s="1"/>
  <c r="BE19" i="18" s="1"/>
  <c r="BE20" i="18" s="1"/>
  <c r="BE25" i="18"/>
  <c r="BE33" i="18"/>
  <c r="BG28" i="18"/>
  <c r="BE18" i="15"/>
  <c r="BE26" i="15"/>
  <c r="BE9" i="15"/>
  <c r="BE10" i="15" s="1"/>
  <c r="BE11" i="15" s="1"/>
  <c r="BE12" i="15" s="1"/>
  <c r="BE13" i="15" s="1"/>
  <c r="BE14" i="15" s="1"/>
  <c r="BE15" i="15" s="1"/>
  <c r="BE17" i="15"/>
  <c r="BE25" i="15"/>
  <c r="BE33" i="15"/>
  <c r="BF9" i="15"/>
  <c r="BG9" i="15" s="1"/>
  <c r="BG10" i="15" s="1"/>
  <c r="BG11" i="15" s="1"/>
  <c r="BG12" i="15" s="1"/>
  <c r="BG13" i="15" s="1"/>
  <c r="BG14" i="15" s="1"/>
  <c r="BG15" i="15" s="1"/>
  <c r="BG11" i="14"/>
  <c r="BG12" i="14" s="1"/>
  <c r="BG13" i="14" s="1"/>
  <c r="BG14" i="14" s="1"/>
  <c r="BG15" i="14" s="1"/>
  <c r="BG16" i="14" s="1"/>
  <c r="BG17" i="14" s="1"/>
  <c r="BG18" i="14" s="1"/>
  <c r="BG19" i="14" s="1"/>
  <c r="BG20" i="14" s="1"/>
  <c r="BE27" i="14"/>
  <c r="BE8" i="14"/>
  <c r="BE9" i="14" s="1"/>
  <c r="BE10" i="14" s="1"/>
  <c r="BE11" i="14" s="1"/>
  <c r="BE12" i="14" s="1"/>
  <c r="BE13" i="14" s="1"/>
  <c r="BE14" i="14" s="1"/>
  <c r="BE15" i="14" s="1"/>
  <c r="BE16" i="14" s="1"/>
  <c r="BE17" i="14" s="1"/>
  <c r="BE18" i="14" s="1"/>
  <c r="BE19" i="14" s="1"/>
  <c r="BE20" i="14" s="1"/>
  <c r="BE24" i="14"/>
  <c r="BE32" i="14"/>
  <c r="BE21" i="14"/>
  <c r="BE29" i="14"/>
  <c r="BG9" i="12"/>
  <c r="BG10" i="12" s="1"/>
  <c r="BG11" i="12" s="1"/>
  <c r="BG12" i="12" s="1"/>
  <c r="BG13" i="12" s="1"/>
  <c r="BG14" i="12" s="1"/>
  <c r="BG15" i="12" s="1"/>
  <c r="BG16" i="12" s="1"/>
  <c r="BG17" i="12" s="1"/>
  <c r="BG18" i="12" s="1"/>
  <c r="BG19" i="12" s="1"/>
  <c r="BG20" i="12" s="1"/>
  <c r="BG21" i="12" s="1"/>
  <c r="BG22" i="12" s="1"/>
  <c r="BG23" i="12" s="1"/>
  <c r="BE29" i="12"/>
  <c r="BG30" i="12"/>
  <c r="BE10" i="12"/>
  <c r="BE11" i="12" s="1"/>
  <c r="BE12" i="12" s="1"/>
  <c r="BE13" i="12" s="1"/>
  <c r="BE14" i="12" s="1"/>
  <c r="BE15" i="12" s="1"/>
  <c r="BE16" i="12" s="1"/>
  <c r="BE17" i="12" s="1"/>
  <c r="BE18" i="12" s="1"/>
  <c r="BE19" i="12" s="1"/>
  <c r="BE20" i="12" s="1"/>
  <c r="BE21" i="12" s="1"/>
  <c r="BE22" i="12" s="1"/>
  <c r="BE23" i="12" s="1"/>
  <c r="BG24" i="12"/>
  <c r="BE31" i="12"/>
  <c r="BE9" i="12"/>
  <c r="BE25" i="12"/>
  <c r="BE33" i="12"/>
  <c r="BG12" i="11"/>
  <c r="BG13" i="11" s="1"/>
  <c r="BG14" i="11" s="1"/>
  <c r="BG15" i="11" s="1"/>
  <c r="BG16" i="11" s="1"/>
  <c r="BG17" i="11" s="1"/>
  <c r="BG18" i="11" s="1"/>
  <c r="BG10" i="11"/>
  <c r="BG11" i="11" s="1"/>
  <c r="BE10" i="11"/>
  <c r="BE11" i="11" s="1"/>
  <c r="BE12" i="11" s="1"/>
  <c r="BE13" i="11" s="1"/>
  <c r="BE14" i="11" s="1"/>
  <c r="BE15" i="11" s="1"/>
  <c r="BE16" i="11" s="1"/>
  <c r="BE17" i="11" s="1"/>
  <c r="BE18" i="11" s="1"/>
  <c r="BE23" i="11"/>
  <c r="BE31" i="11"/>
  <c r="BE20" i="11"/>
  <c r="BG26" i="11"/>
  <c r="BE28" i="11"/>
  <c r="BE25" i="11"/>
  <c r="BE33" i="11"/>
  <c r="BE8" i="9"/>
  <c r="BB39" i="8"/>
  <c r="BG33" i="10"/>
  <c r="BF33" i="10"/>
  <c r="BG32" i="10"/>
  <c r="BF32" i="10"/>
  <c r="BG31" i="10"/>
  <c r="BF31" i="10"/>
  <c r="BG30" i="10"/>
  <c r="BF30" i="10"/>
  <c r="BG29" i="10"/>
  <c r="BF29" i="10"/>
  <c r="BG28" i="10"/>
  <c r="BF28" i="10"/>
  <c r="BG27" i="10"/>
  <c r="BF27" i="10"/>
  <c r="BG26" i="10"/>
  <c r="BF26" i="10"/>
  <c r="BG25" i="10"/>
  <c r="BF25" i="10"/>
  <c r="BG24" i="10"/>
  <c r="BF24" i="10"/>
  <c r="BG23" i="10"/>
  <c r="BF23" i="10"/>
  <c r="BG22" i="10"/>
  <c r="BF22" i="10"/>
  <c r="BG21" i="10"/>
  <c r="BF21" i="10"/>
  <c r="BG20" i="10"/>
  <c r="BF20" i="10"/>
  <c r="BG19" i="10"/>
  <c r="BF19" i="10"/>
  <c r="BG18" i="10"/>
  <c r="BF18" i="10"/>
  <c r="BG17" i="10"/>
  <c r="BF17" i="10"/>
  <c r="BG16" i="10"/>
  <c r="BF16" i="10"/>
  <c r="BG15" i="10"/>
  <c r="BF15" i="10"/>
  <c r="BF8" i="10"/>
  <c r="BG8" i="10" s="1"/>
  <c r="BC8" i="24" l="1"/>
  <c r="F8" i="21"/>
  <c r="F8" i="20"/>
  <c r="F8" i="19"/>
  <c r="F8" i="18"/>
  <c r="F8" i="12"/>
  <c r="BE33" i="10"/>
  <c r="BE32" i="10"/>
  <c r="BE31" i="10"/>
  <c r="BE30" i="10"/>
  <c r="BE29" i="10"/>
  <c r="BE28" i="10"/>
  <c r="BE27" i="10"/>
  <c r="BE26" i="10"/>
  <c r="BE25" i="10"/>
  <c r="BE24" i="10"/>
  <c r="BE23" i="10"/>
  <c r="BE22" i="10"/>
  <c r="BE21" i="10"/>
  <c r="BE20" i="10"/>
  <c r="BE19" i="10"/>
  <c r="BE18" i="10"/>
  <c r="BE17" i="10"/>
  <c r="BE16" i="10"/>
  <c r="BE15" i="10"/>
  <c r="BE10" i="10"/>
  <c r="BE11" i="10" s="1"/>
  <c r="BE12" i="10" s="1"/>
  <c r="BE13" i="10" s="1"/>
  <c r="BE14" i="10" s="1"/>
  <c r="F8" i="10" s="1"/>
  <c r="BE9" i="10"/>
  <c r="F8" i="11"/>
  <c r="BD33" i="10"/>
  <c r="BC33" i="10"/>
  <c r="BD32" i="10"/>
  <c r="BC32" i="10"/>
  <c r="BD31" i="10"/>
  <c r="BC31" i="10"/>
  <c r="BD30" i="10"/>
  <c r="BC30" i="10"/>
  <c r="BD29" i="10"/>
  <c r="BC29" i="10"/>
  <c r="BD28" i="10"/>
  <c r="BC28" i="10"/>
  <c r="BD27" i="10"/>
  <c r="BC27" i="10"/>
  <c r="BD26" i="10"/>
  <c r="BC26" i="10"/>
  <c r="BD25" i="10"/>
  <c r="BC25" i="10"/>
  <c r="BD24" i="10"/>
  <c r="BC24" i="10"/>
  <c r="BD23" i="10"/>
  <c r="BC23" i="10"/>
  <c r="BD22" i="10"/>
  <c r="BC22" i="10"/>
  <c r="BD21" i="10"/>
  <c r="BC21" i="10"/>
  <c r="BD20" i="10"/>
  <c r="BC20" i="10"/>
  <c r="BD19" i="10"/>
  <c r="BC19" i="10"/>
  <c r="BD18" i="10"/>
  <c r="BC18" i="10"/>
  <c r="BD17" i="10"/>
  <c r="BC17" i="10"/>
  <c r="BD16" i="10"/>
  <c r="BC16" i="10"/>
  <c r="BD15" i="10"/>
  <c r="BC15" i="10"/>
  <c r="BD14" i="10"/>
  <c r="BC14" i="10"/>
  <c r="BD13" i="10"/>
  <c r="BC13" i="10"/>
  <c r="BD12" i="10"/>
  <c r="BC12" i="10"/>
  <c r="BD11" i="10"/>
  <c r="BC11" i="10"/>
  <c r="BD10" i="10"/>
  <c r="BC10" i="10"/>
  <c r="BD9" i="10"/>
  <c r="BC9" i="10"/>
  <c r="BD8" i="10"/>
  <c r="BE8" i="10" s="1"/>
  <c r="BC8" i="10"/>
  <c r="F8" i="15" l="1"/>
  <c r="F8" i="14"/>
  <c r="F4" i="24" l="1"/>
  <c r="AL9" i="6"/>
  <c r="L16" i="6"/>
  <c r="L17" i="6"/>
  <c r="L18" i="6"/>
  <c r="L19" i="6"/>
  <c r="L20" i="6"/>
  <c r="L21" i="6"/>
  <c r="L22" i="6"/>
  <c r="L23" i="6"/>
  <c r="L24" i="6"/>
  <c r="L25" i="6"/>
  <c r="A15" i="6" a="1"/>
  <c r="A18" i="6" a="1"/>
  <c r="A23" i="6" a="1"/>
  <c r="A24" i="6" a="1"/>
  <c r="A19" i="6" a="1"/>
  <c r="A16" i="6" a="1"/>
  <c r="A17" i="6" a="1"/>
  <c r="A20" i="6" a="1"/>
  <c r="A21" i="6" a="1"/>
  <c r="A25" i="6" a="1"/>
  <c r="A22" i="6" a="1"/>
  <c r="A25" i="6" l="1"/>
  <c r="A24" i="6"/>
  <c r="A23" i="6"/>
  <c r="A22" i="6"/>
  <c r="A21" i="6"/>
  <c r="A20" i="6"/>
  <c r="A19" i="6"/>
  <c r="A18" i="6"/>
  <c r="A17" i="6"/>
  <c r="A16" i="6"/>
  <c r="A15" i="6"/>
  <c r="L2" i="23"/>
  <c r="K2" i="23"/>
  <c r="J2" i="23"/>
  <c r="I2" i="23"/>
  <c r="H2" i="23"/>
  <c r="G2" i="23"/>
  <c r="F2" i="23"/>
  <c r="E2" i="23"/>
  <c r="D2" i="23"/>
  <c r="C2" i="23"/>
  <c r="B2" i="23"/>
  <c r="M3" i="6"/>
  <c r="M4" i="6"/>
  <c r="L15" i="6"/>
  <c r="BA10" i="8"/>
  <c r="BA11" i="8" s="1"/>
  <c r="BA12" i="8" s="1"/>
  <c r="BA13" i="8" s="1"/>
  <c r="BA14" i="8" s="1"/>
  <c r="BA15" i="8" s="1"/>
  <c r="BA16" i="8" s="1"/>
  <c r="BA17" i="8" s="1"/>
  <c r="BA18" i="8" s="1"/>
  <c r="BA19" i="8" s="1"/>
  <c r="BA20" i="8" s="1"/>
  <c r="BA21" i="8" s="1"/>
  <c r="BA22" i="8" s="1"/>
  <c r="BA23" i="8" s="1"/>
  <c r="BA24" i="8" s="1"/>
  <c r="BA25" i="8" s="1"/>
  <c r="BA26" i="8" s="1"/>
  <c r="BA27" i="8" s="1"/>
  <c r="BA28" i="8" s="1"/>
  <c r="BA29" i="8" s="1"/>
  <c r="BA30" i="8" s="1"/>
  <c r="F6" i="22"/>
  <c r="F7" i="22" s="1"/>
  <c r="F6" i="21"/>
  <c r="F7" i="21" s="1"/>
  <c r="F6" i="19"/>
  <c r="F7" i="19" s="1"/>
  <c r="F6" i="18"/>
  <c r="F7" i="18" s="1"/>
  <c r="F6" i="15"/>
  <c r="F7" i="15" s="1"/>
  <c r="F6" i="14"/>
  <c r="F7" i="14" s="1"/>
  <c r="F6" i="12"/>
  <c r="F7" i="12" s="1"/>
  <c r="F6" i="11"/>
  <c r="F7" i="11" s="1"/>
  <c r="F6" i="10"/>
  <c r="F7" i="10" s="1"/>
  <c r="F6" i="9"/>
  <c r="A33" i="22"/>
  <c r="A32" i="22"/>
  <c r="A31" i="22"/>
  <c r="A30" i="22"/>
  <c r="A29" i="22"/>
  <c r="A28" i="22"/>
  <c r="A27" i="22"/>
  <c r="A26" i="22"/>
  <c r="A25" i="22"/>
  <c r="A24" i="22"/>
  <c r="A23" i="22"/>
  <c r="A22" i="22"/>
  <c r="A21" i="22"/>
  <c r="A20" i="22"/>
  <c r="A19" i="22"/>
  <c r="A18" i="22"/>
  <c r="A17" i="22"/>
  <c r="A16" i="22"/>
  <c r="A15" i="22"/>
  <c r="A14" i="22"/>
  <c r="A13" i="22"/>
  <c r="A12" i="22"/>
  <c r="A11" i="22"/>
  <c r="A10" i="22"/>
  <c r="A9" i="22"/>
  <c r="F4" i="22"/>
  <c r="A33" i="21"/>
  <c r="A32" i="21"/>
  <c r="A31" i="21"/>
  <c r="A30" i="21"/>
  <c r="A29" i="21"/>
  <c r="A28" i="21"/>
  <c r="A27" i="21"/>
  <c r="A26" i="21"/>
  <c r="A25" i="21"/>
  <c r="A24" i="21"/>
  <c r="A23" i="21"/>
  <c r="A22" i="21"/>
  <c r="A21" i="21"/>
  <c r="A20" i="21"/>
  <c r="A19" i="21"/>
  <c r="A18" i="21"/>
  <c r="A17" i="21"/>
  <c r="A16" i="21"/>
  <c r="A15" i="21"/>
  <c r="A14" i="21"/>
  <c r="A13" i="21"/>
  <c r="A12" i="21"/>
  <c r="A11" i="21"/>
  <c r="A10" i="21"/>
  <c r="A9" i="21"/>
  <c r="F4" i="21"/>
  <c r="A33" i="20"/>
  <c r="A32" i="20"/>
  <c r="A31" i="20"/>
  <c r="A30" i="20"/>
  <c r="A29" i="20"/>
  <c r="A28" i="20"/>
  <c r="A27" i="20"/>
  <c r="A26" i="20"/>
  <c r="A25" i="20"/>
  <c r="A24" i="20"/>
  <c r="A23" i="20"/>
  <c r="A22" i="20"/>
  <c r="A21" i="20"/>
  <c r="A20" i="20"/>
  <c r="A19" i="20"/>
  <c r="A18" i="20"/>
  <c r="A17" i="20"/>
  <c r="A16" i="20"/>
  <c r="A15" i="20"/>
  <c r="A14" i="20"/>
  <c r="A13" i="20"/>
  <c r="A12" i="20"/>
  <c r="A11" i="20"/>
  <c r="A10" i="20"/>
  <c r="A9" i="20"/>
  <c r="F6" i="20"/>
  <c r="F7" i="20" s="1"/>
  <c r="F4" i="20"/>
  <c r="A33" i="19"/>
  <c r="A32" i="19"/>
  <c r="A31" i="19"/>
  <c r="A30" i="19"/>
  <c r="A29" i="19"/>
  <c r="A28" i="19"/>
  <c r="A27" i="19"/>
  <c r="A26" i="19"/>
  <c r="A25" i="19"/>
  <c r="A24" i="19"/>
  <c r="A23" i="19"/>
  <c r="A22" i="19"/>
  <c r="A21" i="19"/>
  <c r="A20" i="19"/>
  <c r="A19" i="19"/>
  <c r="A18" i="19"/>
  <c r="A17" i="19"/>
  <c r="A16" i="19"/>
  <c r="A15" i="19"/>
  <c r="A14" i="19"/>
  <c r="A13" i="19"/>
  <c r="A12" i="19"/>
  <c r="A11" i="19"/>
  <c r="A10" i="19"/>
  <c r="A9" i="19"/>
  <c r="F4" i="19"/>
  <c r="A33" i="18"/>
  <c r="A32" i="18"/>
  <c r="A31" i="18"/>
  <c r="A30" i="18"/>
  <c r="A29" i="18"/>
  <c r="A28" i="18"/>
  <c r="A27" i="18"/>
  <c r="A26" i="18"/>
  <c r="A25" i="18"/>
  <c r="A24" i="18"/>
  <c r="A23" i="18"/>
  <c r="A22" i="18"/>
  <c r="A21" i="18"/>
  <c r="A20" i="18"/>
  <c r="A19" i="18"/>
  <c r="A18" i="18"/>
  <c r="A17" i="18"/>
  <c r="A16" i="18"/>
  <c r="A15" i="18"/>
  <c r="A14" i="18"/>
  <c r="A13" i="18"/>
  <c r="A12" i="18"/>
  <c r="A11" i="18"/>
  <c r="A10" i="18"/>
  <c r="A9" i="18"/>
  <c r="F4" i="18"/>
  <c r="A33" i="15"/>
  <c r="A32" i="15"/>
  <c r="A31" i="15"/>
  <c r="A30" i="15"/>
  <c r="A29" i="15"/>
  <c r="A28" i="15"/>
  <c r="A27" i="15"/>
  <c r="A26" i="15"/>
  <c r="A25" i="15"/>
  <c r="A24" i="15"/>
  <c r="A23" i="15"/>
  <c r="A22" i="15"/>
  <c r="A21" i="15"/>
  <c r="A20" i="15"/>
  <c r="A19" i="15"/>
  <c r="A18" i="15"/>
  <c r="A17" i="15"/>
  <c r="A16" i="15"/>
  <c r="A15" i="15"/>
  <c r="A14" i="15"/>
  <c r="A13" i="15"/>
  <c r="A12" i="15"/>
  <c r="A11" i="15"/>
  <c r="A10" i="15"/>
  <c r="A9" i="15"/>
  <c r="F4" i="15"/>
  <c r="A33" i="14"/>
  <c r="A32" i="14"/>
  <c r="A31" i="14"/>
  <c r="A30" i="14"/>
  <c r="A29" i="14"/>
  <c r="A28" i="14"/>
  <c r="A27" i="14"/>
  <c r="A26" i="14"/>
  <c r="A25" i="14"/>
  <c r="A24" i="14"/>
  <c r="A23" i="14"/>
  <c r="A22" i="14"/>
  <c r="A21" i="14"/>
  <c r="A20" i="14"/>
  <c r="A19" i="14"/>
  <c r="A18" i="14"/>
  <c r="A17" i="14"/>
  <c r="A16" i="14"/>
  <c r="A15" i="14"/>
  <c r="A14" i="14"/>
  <c r="A13" i="14"/>
  <c r="A12" i="14"/>
  <c r="A11" i="14"/>
  <c r="A10" i="14"/>
  <c r="A9" i="14"/>
  <c r="F4" i="14"/>
  <c r="A33" i="12"/>
  <c r="A32" i="12"/>
  <c r="A31" i="12"/>
  <c r="A30" i="12"/>
  <c r="A29" i="12"/>
  <c r="A28" i="12"/>
  <c r="A27" i="12"/>
  <c r="A26" i="12"/>
  <c r="A25" i="12"/>
  <c r="A24" i="12"/>
  <c r="A23" i="12"/>
  <c r="A22" i="12"/>
  <c r="A21" i="12"/>
  <c r="A20" i="12"/>
  <c r="A19" i="12"/>
  <c r="A18" i="12"/>
  <c r="A17" i="12"/>
  <c r="A16" i="12"/>
  <c r="A15" i="12"/>
  <c r="A14" i="12"/>
  <c r="A13" i="12"/>
  <c r="A12" i="12"/>
  <c r="A11" i="12"/>
  <c r="A10" i="12"/>
  <c r="A9" i="12"/>
  <c r="F4" i="12"/>
  <c r="A33" i="11"/>
  <c r="A32" i="11"/>
  <c r="A31" i="11"/>
  <c r="A30" i="11"/>
  <c r="A29" i="11"/>
  <c r="A28" i="11"/>
  <c r="A27" i="11"/>
  <c r="A26" i="11"/>
  <c r="A25" i="11"/>
  <c r="A24" i="11"/>
  <c r="A23" i="11"/>
  <c r="A22" i="11"/>
  <c r="A21" i="11"/>
  <c r="A20" i="11"/>
  <c r="A19" i="11"/>
  <c r="A18" i="11"/>
  <c r="A17" i="11"/>
  <c r="A16" i="11"/>
  <c r="A15" i="11"/>
  <c r="A14" i="11"/>
  <c r="A13" i="11"/>
  <c r="A12" i="11"/>
  <c r="A11" i="11"/>
  <c r="A10" i="11"/>
  <c r="A9" i="11"/>
  <c r="F4" i="11"/>
  <c r="A33" i="10"/>
  <c r="A32" i="10"/>
  <c r="A31" i="10"/>
  <c r="A30" i="10"/>
  <c r="A29" i="10"/>
  <c r="A28" i="10"/>
  <c r="A27" i="10"/>
  <c r="A26" i="10"/>
  <c r="A25" i="10"/>
  <c r="A24" i="10"/>
  <c r="A23" i="10"/>
  <c r="A22" i="10"/>
  <c r="A21" i="10"/>
  <c r="A20" i="10"/>
  <c r="A19" i="10"/>
  <c r="A18" i="10"/>
  <c r="A17" i="10"/>
  <c r="A16" i="10"/>
  <c r="A15" i="10"/>
  <c r="A14" i="10"/>
  <c r="A13" i="10"/>
  <c r="A12" i="10"/>
  <c r="A11" i="10"/>
  <c r="A10" i="10"/>
  <c r="A9" i="10"/>
  <c r="F4" i="10"/>
  <c r="F4" i="9"/>
  <c r="D17" i="6" a="1"/>
  <c r="C23" i="6" a="1"/>
  <c r="G24" i="6" a="1"/>
  <c r="G20" i="6" a="1"/>
  <c r="C17" i="6" a="1"/>
  <c r="D20" i="6" a="1"/>
  <c r="B16" i="6" a="1"/>
  <c r="F17" i="6" a="1"/>
  <c r="D19" i="6" a="1"/>
  <c r="G18" i="6" a="1"/>
  <c r="G23" i="6" a="1"/>
  <c r="F24" i="6" a="1"/>
  <c r="B22" i="6" a="1"/>
  <c r="F23" i="6" a="1"/>
  <c r="G17" i="6" a="1"/>
  <c r="F20" i="6" a="1"/>
  <c r="G22" i="6" a="1"/>
  <c r="C25" i="6" a="1"/>
  <c r="D22" i="6" a="1"/>
  <c r="D15" i="6" a="1"/>
  <c r="F16" i="6" a="1"/>
  <c r="D16" i="6" a="1"/>
  <c r="C20" i="6" a="1"/>
  <c r="C22" i="6" a="1"/>
  <c r="F25" i="6" a="1"/>
  <c r="C15" i="6" a="1"/>
  <c r="G16" i="6" a="1"/>
  <c r="B15" i="6" a="1"/>
  <c r="C24" i="6" a="1"/>
  <c r="G21" i="6" a="1"/>
  <c r="F22" i="6" a="1"/>
  <c r="C16" i="6" a="1"/>
  <c r="C21" i="6" a="1"/>
  <c r="D25" i="6" a="1"/>
  <c r="D23" i="6" a="1"/>
  <c r="D24" i="6" a="1"/>
  <c r="C19" i="6" a="1"/>
  <c r="G19" i="6" a="1"/>
  <c r="B18" i="6" a="1"/>
  <c r="F5" i="18" l="1"/>
  <c r="F5" i="11"/>
  <c r="F5" i="22"/>
  <c r="F5" i="12"/>
  <c r="F5" i="19"/>
  <c r="F5" i="10"/>
  <c r="BF14" i="10"/>
  <c r="BF12" i="10"/>
  <c r="BF13" i="10"/>
  <c r="BF10" i="10"/>
  <c r="BF9" i="10"/>
  <c r="BG9" i="10" s="1"/>
  <c r="BF11" i="10"/>
  <c r="F5" i="14"/>
  <c r="F5" i="20"/>
  <c r="F5" i="21"/>
  <c r="F5" i="9"/>
  <c r="F5" i="15"/>
  <c r="F7" i="9"/>
  <c r="G19" i="6"/>
  <c r="G20" i="6"/>
  <c r="G21" i="6"/>
  <c r="G22" i="6"/>
  <c r="G23" i="6"/>
  <c r="G18" i="6"/>
  <c r="G16" i="6"/>
  <c r="G24" i="6"/>
  <c r="G17" i="6"/>
  <c r="B1" i="23"/>
  <c r="D15" i="6"/>
  <c r="C15" i="6"/>
  <c r="B15" i="6"/>
  <c r="B22" i="6"/>
  <c r="B18" i="6"/>
  <c r="F25" i="6"/>
  <c r="D25" i="6"/>
  <c r="C25" i="6"/>
  <c r="L1" i="23"/>
  <c r="F24" i="6"/>
  <c r="D24" i="6"/>
  <c r="C24" i="6"/>
  <c r="K1" i="23"/>
  <c r="F23" i="6"/>
  <c r="D23" i="6"/>
  <c r="C23" i="6"/>
  <c r="J1" i="23"/>
  <c r="F22" i="6"/>
  <c r="D22" i="6"/>
  <c r="C22" i="6"/>
  <c r="I1" i="23"/>
  <c r="C21" i="6"/>
  <c r="H1" i="23"/>
  <c r="F20" i="6"/>
  <c r="D20" i="6"/>
  <c r="C20" i="6"/>
  <c r="G1" i="23"/>
  <c r="D19" i="6"/>
  <c r="C19" i="6"/>
  <c r="F1" i="23"/>
  <c r="E1" i="23"/>
  <c r="F17" i="6"/>
  <c r="D17" i="6"/>
  <c r="C17" i="6"/>
  <c r="D1" i="23"/>
  <c r="F16" i="6"/>
  <c r="D16" i="6"/>
  <c r="C16" i="6"/>
  <c r="B16" i="6"/>
  <c r="C1" i="23"/>
  <c r="H29" i="23" a="1"/>
  <c r="H29" i="23" s="1"/>
  <c r="H25" i="23" a="1"/>
  <c r="H25" i="23" s="1"/>
  <c r="H21" i="23" a="1"/>
  <c r="H21" i="23" s="1"/>
  <c r="H17" i="23" a="1"/>
  <c r="H17" i="23" s="1"/>
  <c r="H13" i="23" a="1"/>
  <c r="H13" i="23" s="1"/>
  <c r="H9" i="23" a="1"/>
  <c r="H9" i="23" s="1"/>
  <c r="H28" i="23" a="1"/>
  <c r="H28" i="23" s="1"/>
  <c r="H24" i="23" a="1"/>
  <c r="H24" i="23" s="1"/>
  <c r="H20" i="23" a="1"/>
  <c r="H20" i="23" s="1"/>
  <c r="H16" i="23" a="1"/>
  <c r="H16" i="23" s="1"/>
  <c r="H12" i="23" a="1"/>
  <c r="H12" i="23" s="1"/>
  <c r="H8" i="23" a="1"/>
  <c r="H8" i="23" s="1"/>
  <c r="H31" i="23" a="1"/>
  <c r="H31" i="23" s="1"/>
  <c r="H27" i="23" a="1"/>
  <c r="H27" i="23" s="1"/>
  <c r="H23" i="23" a="1"/>
  <c r="H23" i="23" s="1"/>
  <c r="H19" i="23" a="1"/>
  <c r="H19" i="23" s="1"/>
  <c r="H15" i="23" a="1"/>
  <c r="H15" i="23" s="1"/>
  <c r="H11" i="23" a="1"/>
  <c r="H11" i="23" s="1"/>
  <c r="H7" i="23" a="1"/>
  <c r="H7" i="23" s="1"/>
  <c r="H30" i="23" a="1"/>
  <c r="H30" i="23" s="1"/>
  <c r="H26" i="23" a="1"/>
  <c r="H26" i="23" s="1"/>
  <c r="H22" i="23" a="1"/>
  <c r="H22" i="23" s="1"/>
  <c r="H18" i="23" a="1"/>
  <c r="H18" i="23" s="1"/>
  <c r="H14" i="23" a="1"/>
  <c r="H14" i="23" s="1"/>
  <c r="H10" i="23" a="1"/>
  <c r="H10" i="23" s="1"/>
  <c r="H6" i="23" a="1"/>
  <c r="H6" i="23" s="1"/>
  <c r="H3" i="23" a="1"/>
  <c r="H3" i="23" s="1"/>
  <c r="H4" i="23" a="1"/>
  <c r="H4" i="23" s="1"/>
  <c r="A10" i="9"/>
  <c r="A11" i="9"/>
  <c r="A12" i="9"/>
  <c r="A13" i="9"/>
  <c r="A14" i="9"/>
  <c r="A15" i="9"/>
  <c r="A16" i="9"/>
  <c r="A17" i="9"/>
  <c r="A18" i="9"/>
  <c r="A19" i="9"/>
  <c r="A20" i="9"/>
  <c r="A21" i="9"/>
  <c r="A22" i="9"/>
  <c r="A23" i="9"/>
  <c r="A24" i="9"/>
  <c r="A25" i="9"/>
  <c r="A26" i="9"/>
  <c r="A27" i="9"/>
  <c r="A28" i="9"/>
  <c r="A29" i="9"/>
  <c r="A30" i="9"/>
  <c r="A31" i="9"/>
  <c r="A32" i="9"/>
  <c r="A33" i="9"/>
  <c r="A9" i="9"/>
  <c r="D3" i="23" a="1"/>
  <c r="D4" i="23" a="1"/>
  <c r="I4" i="23" a="1"/>
  <c r="I3" i="23" a="1"/>
  <c r="G4" i="23" a="1"/>
  <c r="C4" i="23" a="1"/>
  <c r="F4" i="23" a="1"/>
  <c r="C18" i="6" a="1"/>
  <c r="B21" i="6" a="1"/>
  <c r="D18" i="6" a="1"/>
  <c r="B20" i="6" a="1"/>
  <c r="E21" i="6" a="1"/>
  <c r="E18" i="6" a="1"/>
  <c r="D21" i="6" a="1"/>
  <c r="B17" i="6" a="1"/>
  <c r="E22" i="6" a="1"/>
  <c r="B23" i="6" a="1"/>
  <c r="E20" i="6" a="1"/>
  <c r="E4" i="23" a="1"/>
  <c r="E17" i="6" a="1"/>
  <c r="F21" i="6" a="1"/>
  <c r="E16" i="6" a="1"/>
  <c r="E23" i="6" a="1"/>
  <c r="B19" i="6" a="1"/>
  <c r="F15" i="6" a="1"/>
  <c r="F18" i="6" a="1"/>
  <c r="B24" i="6" a="1"/>
  <c r="F19" i="6" a="1"/>
  <c r="E25" i="6" a="1"/>
  <c r="E19" i="6" a="1"/>
  <c r="L3" i="23" a="1"/>
  <c r="E15" i="6" a="1"/>
  <c r="K3" i="23" a="1"/>
  <c r="B3" i="23" a="1"/>
  <c r="E24" i="6" a="1"/>
  <c r="B25" i="6" a="1"/>
  <c r="J3" i="23" a="1"/>
  <c r="BF30" i="9" l="1"/>
  <c r="BD30" i="9"/>
  <c r="BC30" i="9"/>
  <c r="BD12" i="9"/>
  <c r="BC12" i="9"/>
  <c r="BD11" i="9"/>
  <c r="BC11" i="9"/>
  <c r="BF33" i="9"/>
  <c r="BD33" i="9"/>
  <c r="BC33" i="9"/>
  <c r="BC21" i="9"/>
  <c r="BF21" i="9"/>
  <c r="BD21" i="9"/>
  <c r="BC32" i="9"/>
  <c r="BF32" i="9"/>
  <c r="BD32" i="9"/>
  <c r="BF20" i="9"/>
  <c r="BD20" i="9"/>
  <c r="BC20" i="9"/>
  <c r="BD14" i="9"/>
  <c r="BF14" i="9" s="1"/>
  <c r="BC14" i="9"/>
  <c r="BC24" i="9"/>
  <c r="BF24" i="9"/>
  <c r="BD24" i="9"/>
  <c r="BF17" i="9"/>
  <c r="BD17" i="9"/>
  <c r="BC17" i="9"/>
  <c r="BD27" i="9"/>
  <c r="BC27" i="9"/>
  <c r="BF27" i="9"/>
  <c r="BF15" i="9"/>
  <c r="BD15" i="9"/>
  <c r="BC15" i="9"/>
  <c r="BF26" i="9"/>
  <c r="BD26" i="9"/>
  <c r="BC26" i="9"/>
  <c r="BF31" i="9"/>
  <c r="BD31" i="9"/>
  <c r="BC31" i="9"/>
  <c r="BF25" i="9"/>
  <c r="BD25" i="9"/>
  <c r="BC25" i="9"/>
  <c r="BF19" i="9"/>
  <c r="BD19" i="9"/>
  <c r="BC19" i="9"/>
  <c r="BC13" i="9"/>
  <c r="BD13" i="9"/>
  <c r="BF13" i="9" s="1"/>
  <c r="BF18" i="9"/>
  <c r="BD18" i="9"/>
  <c r="BC18" i="9"/>
  <c r="BF23" i="9"/>
  <c r="BD23" i="9"/>
  <c r="BC23" i="9"/>
  <c r="BC9" i="9"/>
  <c r="BD9" i="9"/>
  <c r="BF28" i="9"/>
  <c r="BD28" i="9"/>
  <c r="BC28" i="9"/>
  <c r="BF22" i="9"/>
  <c r="BD22" i="9"/>
  <c r="BC22" i="9"/>
  <c r="BD16" i="9"/>
  <c r="BC16" i="9"/>
  <c r="BF16" i="9"/>
  <c r="BD10" i="9"/>
  <c r="BC10" i="9"/>
  <c r="BC29" i="9"/>
  <c r="BF29" i="9"/>
  <c r="BD29" i="9"/>
  <c r="F9" i="15"/>
  <c r="F9" i="21"/>
  <c r="F9" i="12"/>
  <c r="F9" i="20"/>
  <c r="BG10" i="10"/>
  <c r="BG11" i="10" s="1"/>
  <c r="BG12" i="10" s="1"/>
  <c r="BG13" i="10" s="1"/>
  <c r="BG14" i="10" s="1"/>
  <c r="F9" i="10" s="1"/>
  <c r="F9" i="19"/>
  <c r="F9" i="18"/>
  <c r="F9" i="14"/>
  <c r="E23" i="6"/>
  <c r="E15" i="6"/>
  <c r="E22" i="6"/>
  <c r="E18" i="6"/>
  <c r="E17" i="6"/>
  <c r="E20" i="6"/>
  <c r="E24" i="6"/>
  <c r="E16" i="6"/>
  <c r="E19" i="6"/>
  <c r="E25" i="6"/>
  <c r="F9" i="11"/>
  <c r="F15" i="6"/>
  <c r="B3" i="23"/>
  <c r="F21" i="6"/>
  <c r="E21" i="6"/>
  <c r="D21" i="6"/>
  <c r="F19" i="6"/>
  <c r="F18" i="6"/>
  <c r="D18" i="6"/>
  <c r="F4" i="23"/>
  <c r="J3" i="23"/>
  <c r="J31" i="23" s="1" a="1"/>
  <c r="J31" i="23" s="1"/>
  <c r="B25" i="6"/>
  <c r="B24" i="6"/>
  <c r="K3" i="23"/>
  <c r="K27" i="23" s="1" a="1"/>
  <c r="K27" i="23" s="1"/>
  <c r="B23" i="6"/>
  <c r="B21" i="6"/>
  <c r="B20" i="6"/>
  <c r="B19" i="6"/>
  <c r="C18" i="6"/>
  <c r="B17" i="6"/>
  <c r="C4" i="23"/>
  <c r="L3" i="23"/>
  <c r="I3" i="23"/>
  <c r="G4" i="23"/>
  <c r="I4" i="23"/>
  <c r="D3" i="23"/>
  <c r="D4" i="23"/>
  <c r="E4" i="23"/>
  <c r="G3" i="23" a="1"/>
  <c r="F3" i="23" a="1"/>
  <c r="C3" i="23" a="1"/>
  <c r="B9" i="23" a="1"/>
  <c r="K4" i="23" a="1"/>
  <c r="E3" i="23" a="1"/>
  <c r="J4" i="23" a="1"/>
  <c r="H23" i="6" a="1"/>
  <c r="H18" i="6" a="1"/>
  <c r="B7" i="23" a="1"/>
  <c r="H21" i="6" a="1"/>
  <c r="H24" i="6" a="1"/>
  <c r="B4" i="23" a="1"/>
  <c r="H20" i="6" a="1"/>
  <c r="L4" i="23" a="1"/>
  <c r="H19" i="6" a="1"/>
  <c r="H17" i="6" a="1"/>
  <c r="H22" i="6" a="1"/>
  <c r="H16" i="6" a="1"/>
  <c r="BF12" i="9" l="1"/>
  <c r="BF9" i="9"/>
  <c r="BG9" i="9" s="1"/>
  <c r="BG10" i="9" s="1"/>
  <c r="BE25" i="9"/>
  <c r="BG25" i="9"/>
  <c r="BG20" i="9"/>
  <c r="BE20" i="9"/>
  <c r="BG16" i="9"/>
  <c r="BE16" i="9"/>
  <c r="BG24" i="9"/>
  <c r="BE24" i="9"/>
  <c r="BG21" i="9"/>
  <c r="BE21" i="9"/>
  <c r="BG19" i="9"/>
  <c r="BE19" i="9"/>
  <c r="BE31" i="9"/>
  <c r="BG31" i="9"/>
  <c r="BE15" i="9"/>
  <c r="BG15" i="9"/>
  <c r="BG17" i="9"/>
  <c r="BE17" i="9"/>
  <c r="BE33" i="9"/>
  <c r="BG33" i="9"/>
  <c r="BG26" i="9"/>
  <c r="BE26" i="9"/>
  <c r="BE23" i="9"/>
  <c r="BG23" i="9"/>
  <c r="BG27" i="9"/>
  <c r="BE27" i="9"/>
  <c r="BG29" i="9"/>
  <c r="BE29" i="9"/>
  <c r="BE22" i="9"/>
  <c r="BG22" i="9"/>
  <c r="BG18" i="9"/>
  <c r="BE18" i="9"/>
  <c r="BG32" i="9"/>
  <c r="BE32" i="9"/>
  <c r="BE30" i="9"/>
  <c r="BG30" i="9"/>
  <c r="BE9" i="9"/>
  <c r="BE10" i="9" s="1"/>
  <c r="BE11" i="9" s="1"/>
  <c r="BE12" i="9" s="1"/>
  <c r="BE13" i="9" s="1"/>
  <c r="BE14" i="9" s="1"/>
  <c r="BF10" i="9"/>
  <c r="BE28" i="9"/>
  <c r="BG28" i="9"/>
  <c r="BF11" i="9"/>
  <c r="L4" i="23"/>
  <c r="C3" i="23"/>
  <c r="C24" i="23" s="1" a="1"/>
  <c r="C24" i="23" s="1"/>
  <c r="B18" i="23" a="1"/>
  <c r="B18" i="23" s="1"/>
  <c r="K4" i="23"/>
  <c r="H20" i="6"/>
  <c r="J4" i="23"/>
  <c r="AN11" i="6"/>
  <c r="F9" i="22"/>
  <c r="F8" i="22"/>
  <c r="H22" i="6"/>
  <c r="H16" i="6"/>
  <c r="E3" i="23"/>
  <c r="E24" i="23" s="1" a="1"/>
  <c r="E24" i="23" s="1"/>
  <c r="H21" i="6"/>
  <c r="H17" i="6"/>
  <c r="H19" i="6"/>
  <c r="H23" i="6"/>
  <c r="H18" i="6"/>
  <c r="H24" i="6"/>
  <c r="AL11" i="6"/>
  <c r="M7" i="6"/>
  <c r="B26" i="23" a="1"/>
  <c r="B26" i="23" s="1"/>
  <c r="B27" i="23" a="1"/>
  <c r="B27" i="23" s="1"/>
  <c r="B19" i="23" a="1"/>
  <c r="B19" i="23" s="1"/>
  <c r="B31" i="23" a="1"/>
  <c r="B31" i="23" s="1"/>
  <c r="B16" i="23" a="1"/>
  <c r="B16" i="23" s="1"/>
  <c r="B29" i="23" a="1"/>
  <c r="B29" i="23" s="1"/>
  <c r="B13" i="23" a="1"/>
  <c r="B13" i="23" s="1"/>
  <c r="B20" i="23" a="1"/>
  <c r="B20" i="23" s="1"/>
  <c r="B14" i="23" a="1"/>
  <c r="B14" i="23" s="1"/>
  <c r="B24" i="23" a="1"/>
  <c r="B24" i="23" s="1"/>
  <c r="B15" i="23" a="1"/>
  <c r="B15" i="23" s="1"/>
  <c r="B22" i="23" a="1"/>
  <c r="B22" i="23" s="1"/>
  <c r="B28" i="23" a="1"/>
  <c r="B28" i="23" s="1"/>
  <c r="B17" i="23" a="1"/>
  <c r="B17" i="23" s="1"/>
  <c r="B30" i="23" a="1"/>
  <c r="B30" i="23" s="1"/>
  <c r="B21" i="23" a="1"/>
  <c r="B21" i="23" s="1"/>
  <c r="B25" i="23" a="1"/>
  <c r="B25" i="23" s="1"/>
  <c r="B23" i="23" a="1"/>
  <c r="B23" i="23" s="1"/>
  <c r="B4" i="23"/>
  <c r="B9" i="23"/>
  <c r="G3" i="23"/>
  <c r="G29" i="23" s="1" a="1"/>
  <c r="G29" i="23" s="1"/>
  <c r="J29" i="23" a="1"/>
  <c r="J29" i="23" s="1"/>
  <c r="J28" i="23" a="1"/>
  <c r="J28" i="23" s="1"/>
  <c r="J30" i="23" a="1"/>
  <c r="J30" i="23" s="1"/>
  <c r="J27" i="23" a="1"/>
  <c r="J27" i="23" s="1"/>
  <c r="F3" i="23"/>
  <c r="F22" i="23" s="1" a="1"/>
  <c r="F22" i="23" s="1"/>
  <c r="J23" i="23" a="1"/>
  <c r="J23" i="23" s="1"/>
  <c r="J22" i="23" a="1"/>
  <c r="J22" i="23" s="1"/>
  <c r="J25" i="23" a="1"/>
  <c r="J25" i="23" s="1"/>
  <c r="J24" i="23" a="1"/>
  <c r="J24" i="23" s="1"/>
  <c r="J26" i="23" a="1"/>
  <c r="J26" i="23" s="1"/>
  <c r="K31" i="23" a="1"/>
  <c r="K31" i="23" s="1"/>
  <c r="K29" i="23" a="1"/>
  <c r="K29" i="23" s="1"/>
  <c r="K22" i="23" a="1"/>
  <c r="K22" i="23" s="1"/>
  <c r="K21" i="23" a="1"/>
  <c r="K21" i="23" s="1"/>
  <c r="K23" i="23" a="1"/>
  <c r="K23" i="23" s="1"/>
  <c r="K25" i="23" a="1"/>
  <c r="K25" i="23" s="1"/>
  <c r="K28" i="23" a="1"/>
  <c r="K28" i="23" s="1"/>
  <c r="K24" i="23" a="1"/>
  <c r="K24" i="23" s="1"/>
  <c r="K26" i="23" a="1"/>
  <c r="K26" i="23" s="1"/>
  <c r="K30" i="23" a="1"/>
  <c r="K30" i="23" s="1"/>
  <c r="M5" i="6"/>
  <c r="B7" i="23"/>
  <c r="I29" i="23" a="1"/>
  <c r="I29" i="23" s="1"/>
  <c r="I25" i="23" a="1"/>
  <c r="I25" i="23" s="1"/>
  <c r="I21" i="23" a="1"/>
  <c r="I21" i="23" s="1"/>
  <c r="I28" i="23" a="1"/>
  <c r="I28" i="23" s="1"/>
  <c r="I24" i="23" a="1"/>
  <c r="I24" i="23" s="1"/>
  <c r="I20" i="23" a="1"/>
  <c r="I20" i="23" s="1"/>
  <c r="I31" i="23" a="1"/>
  <c r="I31" i="23" s="1"/>
  <c r="I27" i="23" a="1"/>
  <c r="I27" i="23" s="1"/>
  <c r="I23" i="23" a="1"/>
  <c r="I23" i="23" s="1"/>
  <c r="I30" i="23" a="1"/>
  <c r="I30" i="23" s="1"/>
  <c r="I26" i="23" a="1"/>
  <c r="I26" i="23" s="1"/>
  <c r="I22" i="23" a="1"/>
  <c r="I22" i="23" s="1"/>
  <c r="D18" i="23" a="1"/>
  <c r="D18" i="23" s="1"/>
  <c r="D28" i="23" a="1"/>
  <c r="D28" i="23" s="1"/>
  <c r="D24" i="23" a="1"/>
  <c r="D24" i="23" s="1"/>
  <c r="D16" i="23" a="1"/>
  <c r="D16" i="23" s="1"/>
  <c r="D26" i="23" a="1"/>
  <c r="D26" i="23" s="1"/>
  <c r="D21" i="23" a="1"/>
  <c r="D21" i="23" s="1"/>
  <c r="D30" i="23" a="1"/>
  <c r="D30" i="23" s="1"/>
  <c r="D27" i="23" a="1"/>
  <c r="D27" i="23" s="1"/>
  <c r="D22" i="23" a="1"/>
  <c r="D22" i="23" s="1"/>
  <c r="D20" i="23" a="1"/>
  <c r="D20" i="23" s="1"/>
  <c r="D29" i="23" a="1"/>
  <c r="D29" i="23" s="1"/>
  <c r="D19" i="23" a="1"/>
  <c r="D19" i="23" s="1"/>
  <c r="D23" i="23" a="1"/>
  <c r="D23" i="23" s="1"/>
  <c r="D31" i="23" a="1"/>
  <c r="D31" i="23" s="1"/>
  <c r="D25" i="23" a="1"/>
  <c r="D25" i="23" s="1"/>
  <c r="D17" i="23" a="1"/>
  <c r="D17" i="23" s="1"/>
  <c r="L28" i="23" a="1"/>
  <c r="L29" i="23" a="1"/>
  <c r="L27" i="23" a="1"/>
  <c r="L30" i="23" a="1"/>
  <c r="L31" i="23" a="1"/>
  <c r="D14" i="23" a="1"/>
  <c r="D11" i="23" a="1"/>
  <c r="D12" i="23" a="1"/>
  <c r="D8" i="23" a="1"/>
  <c r="D13" i="23" a="1"/>
  <c r="D7" i="23" a="1"/>
  <c r="D9" i="23" a="1"/>
  <c r="D6" i="23" a="1"/>
  <c r="D15" i="23" a="1"/>
  <c r="D10" i="23" a="1"/>
  <c r="I17" i="23" a="1"/>
  <c r="F16" i="23" a="1"/>
  <c r="F6" i="23" a="1"/>
  <c r="I14" i="23" a="1"/>
  <c r="I9" i="23" a="1"/>
  <c r="I15" i="23" a="1"/>
  <c r="C10" i="23" a="1"/>
  <c r="I7" i="23" a="1"/>
  <c r="I16" i="23" a="1"/>
  <c r="C6" i="23" a="1"/>
  <c r="I18" i="23" a="1"/>
  <c r="G11" i="23" a="1"/>
  <c r="I11" i="23" a="1"/>
  <c r="I13" i="23" a="1"/>
  <c r="F14" i="23" a="1"/>
  <c r="F13" i="23" a="1"/>
  <c r="F10" i="23" a="1"/>
  <c r="I12" i="23" a="1"/>
  <c r="I6" i="23" a="1"/>
  <c r="F18" i="23" a="1"/>
  <c r="I10" i="23" a="1"/>
  <c r="F9" i="23" a="1"/>
  <c r="F17" i="23" a="1"/>
  <c r="F7" i="23" a="1"/>
  <c r="I19" i="23" a="1"/>
  <c r="I8" i="23" a="1"/>
  <c r="F15" i="23" a="1"/>
  <c r="J20" i="23" a="1"/>
  <c r="K17" i="23" a="1"/>
  <c r="J19" i="23" a="1"/>
  <c r="L11" i="23" a="1"/>
  <c r="J15" i="23" a="1"/>
  <c r="J12" i="23" a="1"/>
  <c r="B10" i="23" a="1"/>
  <c r="L14" i="23" a="1"/>
  <c r="L24" i="23" a="1"/>
  <c r="L15" i="23" a="1"/>
  <c r="K7" i="23" a="1"/>
  <c r="B12" i="23" a="1"/>
  <c r="L9" i="23" a="1"/>
  <c r="J10" i="23" a="1"/>
  <c r="B11" i="23" a="1"/>
  <c r="K9" i="23" a="1"/>
  <c r="K20" i="23" a="1"/>
  <c r="L26" i="23" a="1"/>
  <c r="J6" i="23" a="1"/>
  <c r="L25" i="23" a="1"/>
  <c r="J8" i="23" a="1"/>
  <c r="G25" i="6" a="1"/>
  <c r="K10" i="23" a="1"/>
  <c r="K8" i="23" a="1"/>
  <c r="L21" i="23" a="1"/>
  <c r="L7" i="23" a="1"/>
  <c r="K14" i="23" a="1"/>
  <c r="H25" i="6" a="1"/>
  <c r="K11" i="23" a="1"/>
  <c r="J21" i="23" a="1"/>
  <c r="B8" i="23" a="1"/>
  <c r="L16" i="23" a="1"/>
  <c r="K19" i="23" a="1"/>
  <c r="K6" i="23" a="1"/>
  <c r="J7" i="23" a="1"/>
  <c r="K16" i="23" a="1"/>
  <c r="L17" i="23" a="1"/>
  <c r="J17" i="23" a="1"/>
  <c r="L10" i="23" a="1"/>
  <c r="J9" i="23" a="1"/>
  <c r="L13" i="23" a="1"/>
  <c r="J18" i="23" a="1"/>
  <c r="B6" i="23" a="1"/>
  <c r="J11" i="23" a="1"/>
  <c r="K18" i="23" a="1"/>
  <c r="L23" i="23" a="1"/>
  <c r="K13" i="23" a="1"/>
  <c r="L8" i="23" a="1"/>
  <c r="K12" i="23" a="1"/>
  <c r="L18" i="23" a="1"/>
  <c r="L12" i="23" a="1"/>
  <c r="L20" i="23" a="1"/>
  <c r="J13" i="23" a="1"/>
  <c r="E19" i="23" a="1"/>
  <c r="L6" i="23" a="1"/>
  <c r="J14" i="23" a="1"/>
  <c r="L19" i="23" a="1"/>
  <c r="J16" i="23" a="1"/>
  <c r="E13" i="23" a="1"/>
  <c r="L22" i="23" a="1"/>
  <c r="K15" i="23" a="1"/>
  <c r="J20" i="23" l="1"/>
  <c r="BG11" i="9"/>
  <c r="BG12" i="9" s="1"/>
  <c r="BG13" i="9" s="1"/>
  <c r="BG14" i="9" s="1"/>
  <c r="F9" i="9" s="1"/>
  <c r="F8" i="9"/>
  <c r="B12" i="23"/>
  <c r="B10" i="23"/>
  <c r="C14" i="23" a="1"/>
  <c r="C14" i="23" s="1"/>
  <c r="C13" i="23" a="1"/>
  <c r="C13" i="23" s="1"/>
  <c r="C27" i="23" a="1"/>
  <c r="C27" i="23" s="1"/>
  <c r="C22" i="23" a="1"/>
  <c r="C22" i="23" s="1"/>
  <c r="C20" i="23" a="1"/>
  <c r="C20" i="23" s="1"/>
  <c r="C25" i="23" a="1"/>
  <c r="C25" i="23" s="1"/>
  <c r="C28" i="23" a="1"/>
  <c r="C28" i="23" s="1"/>
  <c r="C15" i="23" a="1"/>
  <c r="C15" i="23" s="1"/>
  <c r="C23" i="23" a="1"/>
  <c r="C23" i="23" s="1"/>
  <c r="C19" i="23" a="1"/>
  <c r="C19" i="23" s="1"/>
  <c r="C16" i="23" a="1"/>
  <c r="C16" i="23" s="1"/>
  <c r="C17" i="23" a="1"/>
  <c r="C17" i="23" s="1"/>
  <c r="C26" i="23" a="1"/>
  <c r="C26" i="23" s="1"/>
  <c r="C18" i="23" a="1"/>
  <c r="C18" i="23" s="1"/>
  <c r="C29" i="23" a="1"/>
  <c r="C29" i="23" s="1"/>
  <c r="C21" i="23" a="1"/>
  <c r="C21" i="23" s="1"/>
  <c r="C30" i="23" a="1"/>
  <c r="C30" i="23" s="1"/>
  <c r="C31" i="23" a="1"/>
  <c r="C31" i="23" s="1"/>
  <c r="N3" i="23"/>
  <c r="J13" i="23"/>
  <c r="J10" i="23"/>
  <c r="H25" i="6"/>
  <c r="L31" i="23"/>
  <c r="L30" i="23"/>
  <c r="G25" i="6"/>
  <c r="L28" i="23"/>
  <c r="L29" i="23"/>
  <c r="L27" i="23"/>
  <c r="E28" i="23" a="1"/>
  <c r="E28" i="23" s="1"/>
  <c r="E29" i="23" a="1"/>
  <c r="E29" i="23" s="1"/>
  <c r="E22" i="23" a="1"/>
  <c r="E22" i="23" s="1"/>
  <c r="E26" i="23" a="1"/>
  <c r="E26" i="23" s="1"/>
  <c r="E25" i="23" a="1"/>
  <c r="E25" i="23" s="1"/>
  <c r="E23" i="23" a="1"/>
  <c r="E23" i="23" s="1"/>
  <c r="E27" i="23" a="1"/>
  <c r="E27" i="23" s="1"/>
  <c r="E30" i="23" a="1"/>
  <c r="E30" i="23" s="1"/>
  <c r="E31" i="23" a="1"/>
  <c r="E31" i="23" s="1"/>
  <c r="B8" i="23"/>
  <c r="B6" i="23"/>
  <c r="B11" i="23"/>
  <c r="J17" i="23"/>
  <c r="J12" i="23"/>
  <c r="J8" i="23"/>
  <c r="J15" i="23"/>
  <c r="J6" i="23"/>
  <c r="J9" i="23"/>
  <c r="J21" i="23"/>
  <c r="J18" i="23"/>
  <c r="J19" i="23"/>
  <c r="J14" i="23"/>
  <c r="J11" i="23"/>
  <c r="J7" i="23"/>
  <c r="J16" i="23"/>
  <c r="G22" i="23" a="1"/>
  <c r="G22" i="23" s="1"/>
  <c r="G26" i="23" a="1"/>
  <c r="G26" i="23" s="1"/>
  <c r="G19" i="23" a="1"/>
  <c r="G19" i="23" s="1"/>
  <c r="G23" i="23" a="1"/>
  <c r="G23" i="23" s="1"/>
  <c r="G16" i="23" a="1"/>
  <c r="G16" i="23" s="1"/>
  <c r="G20" i="23" a="1"/>
  <c r="G20" i="23" s="1"/>
  <c r="G24" i="23" a="1"/>
  <c r="G24" i="23" s="1"/>
  <c r="G28" i="23" a="1"/>
  <c r="G28" i="23" s="1"/>
  <c r="G30" i="23" a="1"/>
  <c r="G30" i="23" s="1"/>
  <c r="G17" i="23" a="1"/>
  <c r="G17" i="23" s="1"/>
  <c r="G15" i="23" a="1"/>
  <c r="G15" i="23" s="1"/>
  <c r="G21" i="23" a="1"/>
  <c r="G21" i="23" s="1"/>
  <c r="G14" i="23" a="1"/>
  <c r="G14" i="23" s="1"/>
  <c r="G27" i="23" a="1"/>
  <c r="G27" i="23" s="1"/>
  <c r="G25" i="23" a="1"/>
  <c r="G25" i="23" s="1"/>
  <c r="G18" i="23" a="1"/>
  <c r="G18" i="23" s="1"/>
  <c r="G31" i="23" a="1"/>
  <c r="G31" i="23" s="1"/>
  <c r="C10" i="23"/>
  <c r="C6" i="23"/>
  <c r="F30" i="23" a="1"/>
  <c r="F30" i="23" s="1"/>
  <c r="P3" i="23"/>
  <c r="F25" i="23" a="1"/>
  <c r="F25" i="23" s="1"/>
  <c r="F26" i="23" a="1"/>
  <c r="F26" i="23" s="1"/>
  <c r="F28" i="23" a="1"/>
  <c r="F28" i="23" s="1"/>
  <c r="F23" i="23" a="1"/>
  <c r="F23" i="23" s="1"/>
  <c r="F31" i="23" a="1"/>
  <c r="F31" i="23" s="1"/>
  <c r="F24" i="23" a="1"/>
  <c r="F24" i="23" s="1"/>
  <c r="F21" i="23" a="1"/>
  <c r="F21" i="23" s="1"/>
  <c r="F27" i="23" a="1"/>
  <c r="F27" i="23" s="1"/>
  <c r="F29" i="23" a="1"/>
  <c r="F29" i="23" s="1"/>
  <c r="F19" i="23" a="1"/>
  <c r="F19" i="23" s="1"/>
  <c r="F20" i="23" a="1"/>
  <c r="F20" i="23" s="1"/>
  <c r="K20" i="23"/>
  <c r="K19" i="23"/>
  <c r="K11" i="23"/>
  <c r="K6" i="23"/>
  <c r="K17" i="23"/>
  <c r="K16" i="23"/>
  <c r="K13" i="23"/>
  <c r="K9" i="23"/>
  <c r="K18" i="23"/>
  <c r="K15" i="23"/>
  <c r="K8" i="23"/>
  <c r="K12" i="23"/>
  <c r="K14" i="23"/>
  <c r="K10" i="23"/>
  <c r="K7" i="23"/>
  <c r="L13" i="23"/>
  <c r="L14" i="23"/>
  <c r="L15" i="23"/>
  <c r="L16" i="23"/>
  <c r="L17" i="23"/>
  <c r="L18" i="23"/>
  <c r="L23" i="23"/>
  <c r="L20" i="23"/>
  <c r="L26" i="23"/>
  <c r="L22" i="23"/>
  <c r="L21" i="23"/>
  <c r="L7" i="23"/>
  <c r="L6" i="23"/>
  <c r="L8" i="23"/>
  <c r="L24" i="23"/>
  <c r="L9" i="23"/>
  <c r="L25" i="23"/>
  <c r="L19" i="23"/>
  <c r="L10" i="23"/>
  <c r="L11" i="23"/>
  <c r="L12" i="23"/>
  <c r="I10" i="23"/>
  <c r="I15" i="23"/>
  <c r="I9" i="23"/>
  <c r="I14" i="23"/>
  <c r="I8" i="23"/>
  <c r="I13" i="23"/>
  <c r="I19" i="23"/>
  <c r="I18" i="23"/>
  <c r="I7" i="23"/>
  <c r="I12" i="23"/>
  <c r="I17" i="23"/>
  <c r="G11" i="23"/>
  <c r="I11" i="23"/>
  <c r="I16" i="23"/>
  <c r="I6" i="23"/>
  <c r="D8" i="23"/>
  <c r="D14" i="23"/>
  <c r="D15" i="23"/>
  <c r="D7" i="23"/>
  <c r="D9" i="23"/>
  <c r="D11" i="23"/>
  <c r="D12" i="23"/>
  <c r="D10" i="23"/>
  <c r="D13" i="23"/>
  <c r="D6" i="23"/>
  <c r="F15" i="23"/>
  <c r="F13" i="23"/>
  <c r="F18" i="23"/>
  <c r="F17" i="23"/>
  <c r="F6" i="23"/>
  <c r="F7" i="23"/>
  <c r="F9" i="23"/>
  <c r="F10" i="23"/>
  <c r="F16" i="23"/>
  <c r="F14" i="23"/>
  <c r="E19" i="23"/>
  <c r="E13" i="23"/>
  <c r="C12" i="23" a="1"/>
  <c r="G9" i="23" a="1"/>
  <c r="G10" i="23" a="1"/>
  <c r="G7" i="23" a="1"/>
  <c r="F12" i="23" a="1"/>
  <c r="C11" i="23" a="1"/>
  <c r="G8" i="23" a="1"/>
  <c r="C7" i="23" a="1"/>
  <c r="C8" i="23" a="1"/>
  <c r="G13" i="23" a="1"/>
  <c r="C9" i="23" a="1"/>
  <c r="F8" i="23" a="1"/>
  <c r="F11" i="23" a="1"/>
  <c r="G12" i="23" a="1"/>
  <c r="G6" i="23" a="1"/>
  <c r="E18" i="23" a="1"/>
  <c r="E21" i="23" a="1"/>
  <c r="E6" i="23" a="1"/>
  <c r="E20" i="23" a="1"/>
  <c r="E7" i="23" a="1"/>
  <c r="E14" i="23" a="1"/>
  <c r="E16" i="23" a="1"/>
  <c r="E10" i="23" a="1"/>
  <c r="E12" i="23" a="1"/>
  <c r="E15" i="23" a="1"/>
  <c r="H15" i="6" a="1"/>
  <c r="E17" i="23" a="1"/>
  <c r="G15" i="6" a="1"/>
  <c r="E9" i="23" a="1"/>
  <c r="E11" i="23" a="1"/>
  <c r="E8" i="23" a="1"/>
  <c r="E18" i="23" l="1"/>
  <c r="N18" i="23" s="1"/>
  <c r="E20" i="23"/>
  <c r="N20" i="23" s="1"/>
  <c r="E16" i="23"/>
  <c r="N16" i="23" s="1"/>
  <c r="E21" i="23"/>
  <c r="N21" i="23" s="1"/>
  <c r="E9" i="23"/>
  <c r="E15" i="23"/>
  <c r="N15" i="23" s="1"/>
  <c r="E14" i="23"/>
  <c r="N14" i="23" s="1"/>
  <c r="E8" i="23"/>
  <c r="E6" i="23"/>
  <c r="E10" i="23"/>
  <c r="E7" i="23"/>
  <c r="E17" i="23"/>
  <c r="N17" i="23" s="1"/>
  <c r="E11" i="23"/>
  <c r="E12" i="23"/>
  <c r="G15" i="6"/>
  <c r="H15" i="6"/>
  <c r="C8" i="23"/>
  <c r="C7" i="23"/>
  <c r="C11" i="23"/>
  <c r="C12" i="23"/>
  <c r="C9" i="23"/>
  <c r="G12" i="23"/>
  <c r="G10" i="23"/>
  <c r="F11" i="23"/>
  <c r="G8" i="23"/>
  <c r="F12" i="23"/>
  <c r="G6" i="23"/>
  <c r="G9" i="23"/>
  <c r="F8" i="23"/>
  <c r="G13" i="23"/>
  <c r="N13" i="23" s="1"/>
  <c r="N28" i="23"/>
  <c r="B4" i="24"/>
  <c r="G7" i="23"/>
  <c r="N31" i="23"/>
  <c r="N29" i="23"/>
  <c r="N22" i="23"/>
  <c r="N25" i="23"/>
  <c r="N26" i="23"/>
  <c r="N30" i="23"/>
  <c r="N27" i="23"/>
  <c r="N24" i="23"/>
  <c r="N23" i="23"/>
  <c r="N19" i="23"/>
  <c r="B4" i="8" a="1"/>
  <c r="N6" i="23" l="1"/>
  <c r="P6" i="23" s="1"/>
  <c r="N10" i="23"/>
  <c r="P10" i="23" s="1"/>
  <c r="N8" i="23"/>
  <c r="P8" i="23" s="1"/>
  <c r="N9" i="23"/>
  <c r="B11" i="24" s="1"/>
  <c r="N11" i="23"/>
  <c r="P11" i="23" s="1"/>
  <c r="N12" i="23"/>
  <c r="B14" i="24" s="1"/>
  <c r="N7" i="23"/>
  <c r="P31" i="23"/>
  <c r="B33" i="24"/>
  <c r="P27" i="23"/>
  <c r="B29" i="24"/>
  <c r="P30" i="23"/>
  <c r="B32" i="24"/>
  <c r="P29" i="23"/>
  <c r="B31" i="24"/>
  <c r="P28" i="23"/>
  <c r="B30" i="24"/>
  <c r="A29" i="24"/>
  <c r="A33" i="24"/>
  <c r="A32" i="24"/>
  <c r="A31" i="24"/>
  <c r="A24" i="24"/>
  <c r="A15" i="24"/>
  <c r="A21" i="24"/>
  <c r="A10" i="24"/>
  <c r="A12" i="24"/>
  <c r="A25" i="24"/>
  <c r="A14" i="24"/>
  <c r="A11" i="24"/>
  <c r="A17" i="24"/>
  <c r="A28" i="24"/>
  <c r="A13" i="24"/>
  <c r="A30" i="24"/>
  <c r="A16" i="24"/>
  <c r="A19" i="24"/>
  <c r="A18" i="24"/>
  <c r="A26" i="24"/>
  <c r="A22" i="24"/>
  <c r="A23" i="24"/>
  <c r="A27" i="24"/>
  <c r="A9" i="24"/>
  <c r="A20" i="24"/>
  <c r="B4" i="8"/>
  <c r="A23" i="8" s="1"/>
  <c r="B23" i="8" s="1"/>
  <c r="P13" i="23"/>
  <c r="B15" i="24"/>
  <c r="P19" i="23"/>
  <c r="B21" i="24"/>
  <c r="P17" i="23"/>
  <c r="B19" i="24"/>
  <c r="P26" i="23"/>
  <c r="B28" i="24"/>
  <c r="P23" i="23"/>
  <c r="B25" i="24"/>
  <c r="P18" i="23"/>
  <c r="B20" i="24"/>
  <c r="P20" i="23"/>
  <c r="B22" i="24"/>
  <c r="P24" i="23"/>
  <c r="B26" i="24"/>
  <c r="P15" i="23"/>
  <c r="B17" i="24"/>
  <c r="P25" i="23"/>
  <c r="B27" i="24"/>
  <c r="P16" i="23"/>
  <c r="B18" i="24"/>
  <c r="P22" i="23"/>
  <c r="B24" i="24"/>
  <c r="P14" i="23"/>
  <c r="B16" i="24"/>
  <c r="P21" i="23"/>
  <c r="B23" i="24"/>
  <c r="B8" i="8"/>
  <c r="B8" i="24" l="1"/>
  <c r="BD8" i="24" s="1"/>
  <c r="BF8" i="24" s="1"/>
  <c r="BG8" i="24" s="1"/>
  <c r="B12" i="24"/>
  <c r="BD12" i="24" s="1"/>
  <c r="B10" i="24"/>
  <c r="BD10" i="24" s="1"/>
  <c r="P9" i="23"/>
  <c r="B13" i="24"/>
  <c r="BD13" i="24" s="1"/>
  <c r="P12" i="23"/>
  <c r="N33" i="23"/>
  <c r="N34" i="23" s="1"/>
  <c r="B9" i="24"/>
  <c r="P7" i="23"/>
  <c r="BC12" i="24"/>
  <c r="BC9" i="24"/>
  <c r="BC29" i="24"/>
  <c r="BC27" i="24"/>
  <c r="BC13" i="24"/>
  <c r="BC21" i="24"/>
  <c r="BC23" i="24"/>
  <c r="BC28" i="24"/>
  <c r="BC15" i="24"/>
  <c r="BC22" i="24"/>
  <c r="BC17" i="24"/>
  <c r="BC24" i="24"/>
  <c r="BC16" i="24"/>
  <c r="BC10" i="24"/>
  <c r="BC26" i="24"/>
  <c r="BC18" i="24"/>
  <c r="BC14" i="24"/>
  <c r="BC20" i="24"/>
  <c r="BC19" i="24"/>
  <c r="BC25" i="24"/>
  <c r="BC30" i="24"/>
  <c r="BD29" i="24"/>
  <c r="BD32" i="24"/>
  <c r="BC32" i="24"/>
  <c r="BC33" i="24"/>
  <c r="BD33" i="24"/>
  <c r="BD31" i="24"/>
  <c r="BC31" i="24"/>
  <c r="BD30" i="24"/>
  <c r="BD11" i="24"/>
  <c r="BC11" i="24"/>
  <c r="BD28" i="24"/>
  <c r="BD19" i="24"/>
  <c r="BD25" i="24"/>
  <c r="BD20" i="24"/>
  <c r="BD16" i="24"/>
  <c r="BD27" i="24"/>
  <c r="BD21" i="24"/>
  <c r="BD23" i="24"/>
  <c r="BD15" i="24"/>
  <c r="BD22" i="24"/>
  <c r="BD17" i="24"/>
  <c r="BD24" i="24"/>
  <c r="BD26" i="24"/>
  <c r="BD18" i="24"/>
  <c r="BD14" i="24"/>
  <c r="A19" i="8"/>
  <c r="B19" i="8" s="1"/>
  <c r="A21" i="8"/>
  <c r="B21" i="8" s="1"/>
  <c r="A25" i="8"/>
  <c r="B25" i="8" s="1"/>
  <c r="A14" i="8"/>
  <c r="A29" i="8"/>
  <c r="B29" i="8" s="1"/>
  <c r="A12" i="8"/>
  <c r="A30" i="8"/>
  <c r="B30" i="8" s="1"/>
  <c r="A11" i="8"/>
  <c r="A18" i="8"/>
  <c r="A16" i="8"/>
  <c r="A26" i="8"/>
  <c r="B26" i="8" s="1"/>
  <c r="A31" i="8"/>
  <c r="B31" i="8" s="1"/>
  <c r="A15" i="8"/>
  <c r="A33" i="8"/>
  <c r="B33" i="8" s="1"/>
  <c r="A13" i="8"/>
  <c r="A10" i="8"/>
  <c r="A22" i="8"/>
  <c r="B22" i="8" s="1"/>
  <c r="A17" i="8"/>
  <c r="A20" i="8"/>
  <c r="B20" i="8" s="1"/>
  <c r="A24" i="8"/>
  <c r="B24" i="8" s="1"/>
  <c r="A9" i="8"/>
  <c r="A32" i="8"/>
  <c r="B32" i="8" s="1"/>
  <c r="A28" i="8"/>
  <c r="B28" i="8" s="1"/>
  <c r="A27" i="8"/>
  <c r="B27" i="8" s="1"/>
  <c r="B17" i="8"/>
  <c r="B14" i="8"/>
  <c r="B16" i="8"/>
  <c r="B10" i="8"/>
  <c r="B9" i="8"/>
  <c r="B12" i="8"/>
  <c r="B11" i="8"/>
  <c r="B15" i="8"/>
  <c r="B13" i="8"/>
  <c r="B18" i="8"/>
  <c r="BE8" i="24" l="1"/>
  <c r="F6" i="24"/>
  <c r="F7" i="24" s="1"/>
  <c r="F5" i="24"/>
  <c r="P33" i="23"/>
  <c r="P34" i="23" s="1"/>
  <c r="P35" i="23" s="1"/>
  <c r="B5" i="24" s="1"/>
  <c r="BD9" i="24"/>
  <c r="BF30" i="24"/>
  <c r="BF33" i="24"/>
  <c r="BF32" i="24"/>
  <c r="BF29" i="24"/>
  <c r="BF31" i="24"/>
  <c r="BF17" i="24"/>
  <c r="BF14" i="24"/>
  <c r="BF10" i="24"/>
  <c r="BF19" i="24"/>
  <c r="BF12" i="24"/>
  <c r="BF26" i="24"/>
  <c r="BF22" i="24"/>
  <c r="BF23" i="24"/>
  <c r="BF25" i="24"/>
  <c r="BF21" i="24"/>
  <c r="BF18" i="24"/>
  <c r="BF13" i="24"/>
  <c r="BF28" i="24"/>
  <c r="BF27" i="24"/>
  <c r="BF11" i="24"/>
  <c r="BF16" i="24"/>
  <c r="BF15" i="24"/>
  <c r="BF20" i="24"/>
  <c r="BF24" i="24"/>
  <c r="B5" i="8" a="1"/>
  <c r="BE9" i="24" l="1"/>
  <c r="BE10" i="24" s="1"/>
  <c r="BE11" i="24" s="1"/>
  <c r="BE12" i="24" s="1"/>
  <c r="BE13" i="24" s="1"/>
  <c r="BE14" i="24" s="1"/>
  <c r="BE15" i="24" s="1"/>
  <c r="BE16" i="24" s="1"/>
  <c r="BE17" i="24" s="1"/>
  <c r="BE18" i="24" s="1"/>
  <c r="BE19" i="24" s="1"/>
  <c r="BE20" i="24" s="1"/>
  <c r="BE21" i="24" s="1"/>
  <c r="BE22" i="24" s="1"/>
  <c r="BE23" i="24" s="1"/>
  <c r="BE24" i="24" s="1"/>
  <c r="BE25" i="24" s="1"/>
  <c r="BE26" i="24" s="1"/>
  <c r="BE27" i="24" s="1"/>
  <c r="BE28" i="24" s="1"/>
  <c r="BE29" i="24" s="1"/>
  <c r="BE30" i="24" s="1"/>
  <c r="BE31" i="24" s="1"/>
  <c r="BE32" i="24" s="1"/>
  <c r="BE33" i="24" s="1"/>
  <c r="BF9" i="24"/>
  <c r="BG9" i="24" s="1"/>
  <c r="BG10" i="24" s="1"/>
  <c r="BG11" i="24" s="1"/>
  <c r="BG12" i="24" s="1"/>
  <c r="BG13" i="24" s="1"/>
  <c r="BG14" i="24" s="1"/>
  <c r="BG15" i="24" s="1"/>
  <c r="BG16" i="24" s="1"/>
  <c r="BG17" i="24" s="1"/>
  <c r="BG18" i="24" s="1"/>
  <c r="BG19" i="24" s="1"/>
  <c r="BG20" i="24" s="1"/>
  <c r="BG21" i="24" s="1"/>
  <c r="BG22" i="24" s="1"/>
  <c r="BG23" i="24" s="1"/>
  <c r="BG24" i="24" s="1"/>
  <c r="BG25" i="24" s="1"/>
  <c r="BG26" i="24" s="1"/>
  <c r="BG27" i="24" s="1"/>
  <c r="BG28" i="24" s="1"/>
  <c r="B5" i="8"/>
  <c r="BB3" i="8" s="1"/>
  <c r="M6" i="6"/>
  <c r="F8" i="24" l="1"/>
  <c r="M8" i="6" s="1"/>
  <c r="BG29" i="24"/>
  <c r="BG30" i="24" s="1"/>
  <c r="BG31" i="24" s="1"/>
  <c r="BG32" i="24" s="1"/>
  <c r="BG33" i="24" s="1"/>
  <c r="F9" i="24" s="1"/>
  <c r="M9" i="6" s="1"/>
  <c r="BB4" i="8"/>
  <c r="BB9" i="8" s="1"/>
  <c r="BB36" i="8" s="1"/>
  <c r="BB37" i="8" s="1"/>
  <c r="BA9" i="8" l="1"/>
  <c r="BA36" i="8" s="1"/>
  <c r="BA35"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Aarjav Jain</author>
  </authors>
  <commentList>
    <comment ref="J6" authorId="0" shapeId="0" xr:uid="{37197690-D051-4695-A2F4-5C9BDE264F3C}">
      <text>
        <r>
          <rPr>
            <b/>
            <sz val="9"/>
            <color indexed="81"/>
            <rFont val="Tahoma"/>
            <family val="2"/>
          </rPr>
          <t>Zhou Luo:</t>
        </r>
        <r>
          <rPr>
            <sz val="9"/>
            <color indexed="81"/>
            <rFont val="Tahoma"/>
            <family val="2"/>
          </rPr>
          <t xml:space="preserve">
This overall beta is equal to the beta of portfolio* because the risk of future cash flows of portfolio is the same as that of portfolio*.</t>
        </r>
      </text>
    </comment>
    <comment ref="J7" authorId="0" shapeId="0" xr:uid="{A56369CE-FE8A-404A-A496-D1B9D26E406E}">
      <text>
        <r>
          <rPr>
            <b/>
            <sz val="9"/>
            <color indexed="81"/>
            <rFont val="Tahoma"/>
            <family val="2"/>
          </rPr>
          <t>Zhou Luo:</t>
        </r>
        <r>
          <rPr>
            <sz val="9"/>
            <color indexed="81"/>
            <rFont val="Tahoma"/>
            <family val="2"/>
          </rPr>
          <t xml:space="preserve">
Net present value is used to analyze that whether a project or portfolio could bring profit to investor. If all other factors are the same among two projects, investors are always tend to choose the project which has larger NPV.</t>
        </r>
      </text>
    </comment>
    <comment ref="J13" authorId="0" shapeId="0" xr:uid="{D2F9AB0E-8CAF-4340-9062-F6A7739A4B59}">
      <text>
        <r>
          <rPr>
            <b/>
            <sz val="9"/>
            <color indexed="81"/>
            <rFont val="Tahoma"/>
            <family val="2"/>
          </rPr>
          <t>Zhou Luo:</t>
        </r>
        <r>
          <rPr>
            <sz val="9"/>
            <color indexed="81"/>
            <rFont val="Tahoma"/>
            <family val="2"/>
          </rPr>
          <t xml:space="preserve">
In this model, Mutually Exclusive means that at most 1 project can be accepted among these set of projects.</t>
        </r>
      </text>
    </comment>
    <comment ref="AJ13" authorId="0" shapeId="0" xr:uid="{A1759968-3405-4A8E-9C03-8AAC69EE5946}">
      <text>
        <r>
          <rPr>
            <b/>
            <sz val="9"/>
            <color indexed="81"/>
            <rFont val="Tahoma"/>
            <family val="2"/>
          </rPr>
          <t>Zhou Luo:</t>
        </r>
        <r>
          <rPr>
            <sz val="9"/>
            <color indexed="81"/>
            <rFont val="Tahoma"/>
            <family val="2"/>
          </rPr>
          <t xml:space="preserve">
This column is designed as a binary table, in which "1" represents that the corresponding project will be accepted and "0" represents that the corresponding project will not be accepted.</t>
        </r>
      </text>
    </comment>
    <comment ref="B14" authorId="0" shapeId="0" xr:uid="{E29A80A7-2F62-4F77-9322-1D44969CFFAD}">
      <text>
        <r>
          <rPr>
            <b/>
            <sz val="9"/>
            <color indexed="81"/>
            <rFont val="Tahoma"/>
            <family val="2"/>
          </rPr>
          <t xml:space="preserve">Zhou Luo:
</t>
        </r>
        <r>
          <rPr>
            <sz val="9"/>
            <color indexed="81"/>
            <rFont val="Tahoma"/>
            <family val="2"/>
          </rPr>
          <t>The investment capital would be represent as an negative number when it was calculated as the initial cash flow.</t>
        </r>
      </text>
    </comment>
    <comment ref="G14" authorId="0" shapeId="0" xr:uid="{C92346DD-11FA-4F4F-8D6D-CBE86E62514C}">
      <text>
        <r>
          <rPr>
            <b/>
            <sz val="9"/>
            <color indexed="81"/>
            <rFont val="Tahoma"/>
            <family val="2"/>
          </rPr>
          <t>Zhou Luo:</t>
        </r>
        <r>
          <rPr>
            <sz val="9"/>
            <color indexed="81"/>
            <rFont val="Tahoma"/>
            <family val="2"/>
          </rPr>
          <t xml:space="preserve">
In this column, Payback Periods are all integer years because the model assumed that cash flows would be received at the end of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Aarjav Jain</author>
  </authors>
  <commentList>
    <comment ref="L33" authorId="0" shapeId="0" xr:uid="{8DCC3672-A663-45C4-938D-C9DB8D63E869}">
      <text>
        <r>
          <rPr>
            <b/>
            <sz val="9"/>
            <color indexed="81"/>
            <rFont val="Tahoma"/>
            <family val="2"/>
          </rPr>
          <t>Zhou Luo:</t>
        </r>
        <r>
          <rPr>
            <sz val="9"/>
            <color indexed="81"/>
            <rFont val="Tahoma"/>
            <family val="2"/>
          </rPr>
          <t xml:space="preserve">
Approximate Internal Rate of Return, which is the average annual cash flow divided by the initial cash flow. In this model, we used it as the guess value to get correct IRR by Excel function.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<sst xmlns="http://schemas.openxmlformats.org/spreadsheetml/2006/main" count="353" uniqueCount="68">
  <si>
    <t>Risk-free rate</t>
  </si>
  <si>
    <t>Market risk premium</t>
  </si>
  <si>
    <t>Detail of Capital Project: ProjectTemplate</t>
  </si>
  <si>
    <t>Discount rate</t>
  </si>
  <si>
    <t>Net present value</t>
  </si>
  <si>
    <t>Approximate internal rate of return</t>
  </si>
  <si>
    <t>Internal rate of return</t>
  </si>
  <si>
    <t>Life</t>
  </si>
  <si>
    <t>Beta</t>
  </si>
  <si>
    <t>Year</t>
  </si>
  <si>
    <t>E(CF)</t>
  </si>
  <si>
    <t>Project Life</t>
  </si>
  <si>
    <t>Dicount Rate for NPV Profile</t>
  </si>
  <si>
    <t>Min</t>
  </si>
  <si>
    <t>Mix</t>
  </si>
  <si>
    <t>Project</t>
  </si>
  <si>
    <t>Discount Rate</t>
  </si>
  <si>
    <t>NPV</t>
  </si>
  <si>
    <t>Number of Steps</t>
  </si>
  <si>
    <t>Sensitivity Analysis</t>
  </si>
  <si>
    <t>Points for Plotting Current Value</t>
  </si>
  <si>
    <t>Project Charateristics</t>
  </si>
  <si>
    <t>Investment</t>
  </si>
  <si>
    <t>IRR</t>
  </si>
  <si>
    <t>Mutaully Exclusive</t>
  </si>
  <si>
    <t>Accept?</t>
  </si>
  <si>
    <t>Dj</t>
  </si>
  <si>
    <t>Project considered</t>
  </si>
  <si>
    <t>Project Accepted</t>
  </si>
  <si>
    <t>Total Investment</t>
  </si>
  <si>
    <t>Overall Beta</t>
  </si>
  <si>
    <t>Total NPV</t>
  </si>
  <si>
    <t>Capital Constraints</t>
  </si>
  <si>
    <t>Max</t>
  </si>
  <si>
    <t>Beta Constraints</t>
  </si>
  <si>
    <t>Portfolio</t>
  </si>
  <si>
    <t>Portfolio*</t>
  </si>
  <si>
    <t>AIRR</t>
  </si>
  <si>
    <t>Source for Mutually Exclusive Data Validation</t>
  </si>
  <si>
    <t>X</t>
  </si>
  <si>
    <t>Yes</t>
  </si>
  <si>
    <t>No</t>
  </si>
  <si>
    <t>Sum of Mutaully Ex.</t>
  </si>
  <si>
    <t>Include Negative NPV Project</t>
  </si>
  <si>
    <t>&lt;=</t>
  </si>
  <si>
    <t>Selection for Negative NPV Projects</t>
  </si>
  <si>
    <t>Sum of Neg NPV Prj Dj</t>
  </si>
  <si>
    <t>Cumulative CF</t>
  </si>
  <si>
    <t>Payback period</t>
  </si>
  <si>
    <t>Calculating payback period</t>
  </si>
  <si>
    <t>Portfolio Payback period</t>
  </si>
  <si>
    <t>Discounted Payback period</t>
  </si>
  <si>
    <t>discounted E(CF)</t>
  </si>
  <si>
    <t>Portfolio Discounted Payback period</t>
  </si>
  <si>
    <t>Discounted payback</t>
  </si>
  <si>
    <t>Navigation Buttons</t>
  </si>
  <si>
    <t>Cell highlighed as indicate User Input</t>
  </si>
  <si>
    <t>Work Area: Please donot make chnages here</t>
  </si>
  <si>
    <t>Payback Period Calculations: Work Area: Please donot make chnages here unless you know what you are doing</t>
  </si>
  <si>
    <t>Discounted E(CF)</t>
  </si>
  <si>
    <t>Payback Period Calculations: Work Area: Please donot make changes here unless you know what you are doing</t>
  </si>
  <si>
    <t>Chart Title</t>
  </si>
  <si>
    <t>Navigation Button</t>
  </si>
  <si>
    <t>Detail of Portfoliot: ProjectTemplate</t>
  </si>
  <si>
    <t>Cell highlighed as indicate Model Input</t>
  </si>
  <si>
    <t>Capital Budgeting For Subsets Projects Selection Model</t>
  </si>
  <si>
    <t>Capital Budgeting: Project Selection</t>
  </si>
  <si>
    <t>ProjectC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</si>
</sst>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 &quot;years&quot;"/>
    <numFmt numFmtId="165" formatCode="&quot;$&quot;#,##0"/>
    <numFmt numFmtId="166" formatCode="0.0000"/>
    <numFmt numFmtId="168" formatCode="&quot;$&quot;#,##0.00"/>
  </numFmts>
  <fonts count="15" x14ac:knownFonts="1">
    <font>
      <sz val="11"/>
      <color theme="1"/>
      <name val="Calibri"/>
      <family val="2"/>
      <scheme val="minor"/>
    </font>
    <font>
      <sz val="11"/>
      <color rgb="FF3F3F76"/>
      <name val="Calibri"/>
      <family val="2"/>
      <scheme val="minor"/>
    </font>
    <font>
      <sz val="11"/>
      <color theme="1"/>
      <name val="Calibri"/>
      <family val="2"/>
    </font>
    <font>
      <sz val="11"/>
      <name val="Calibri"/>
      <family val="2"/>
      <scheme val="minor"/>
    </font>
    <font>
      <b/>
      <sz val="16"/>
      <name val="Calibri"/>
      <family val="2"/>
      <scheme val="minor"/>
    </font>
    <font>
      <b/>
      <sz val="11"/>
      <color theme="0"/>
      <name val="Calibri"/>
      <family val="2"/>
      <scheme val="minor"/>
    </font>
    <font>
      <sz val="11"/>
      <color rgb="FF000000"/>
      <name val="Calibri"/>
      <family val="2"/>
    </font>
    <font>
      <sz val="11"/>
      <color theme="1"/>
      <name val="Calibri"/>
      <family val="2"/>
      <scheme val="minor"/>
    </font>
    <font>
      <sz val="11"/>
      <color theme="0"/>
      <name val="Calibri"/>
      <family val="2"/>
      <scheme val="minor"/>
    </font>
    <font>
      <u/>
      <sz val="11"/>
      <color theme="10"/>
      <name val="Calibri"/>
      <family val="2"/>
      <scheme val="minor"/>
    </font>
    <font>
      <b/>
      <sz val="11"/>
      <color theme="1"/>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indexed="51"/>
        <bgColor indexed="64"/>
      </patternFill>
    </fill>
    <fill>
      <patternFill patternType="solid">
        <fgColor theme="1"/>
        <bgColor indexed="64"/>
      </patternFill>
    </fill>
    <fill>
      <patternFill patternType="solid">
        <fgColor theme="8" tint="0.59999389629810485"/>
        <bgColor indexed="64"/>
      </patternFill>
    </fill>
    <fill>
      <patternFill patternType="solid">
        <fgColor rgb="FFFF0000"/>
        <bgColor indexed="64"/>
      </patternFill>
    </fill>
    <fill>
      <patternFill patternType="solid">
        <fgColor theme="9" tint="0.79998168889431442"/>
        <bgColor indexed="64"/>
      </patternFill>
    </fill>
    <fill>
      <patternFill patternType="solid">
        <fgColor rgb="FFA5A5A5"/>
      </patternFill>
    </fill>
    <fill>
      <patternFill patternType="solid">
        <fgColor theme="8" tint="0.79998168889431442"/>
        <bgColor indexed="65"/>
      </patternFill>
    </fill>
    <fill>
      <patternFill patternType="solid">
        <fgColor theme="4"/>
      </patternFill>
    </fill>
    <fill>
      <patternFill patternType="solid">
        <fgColor theme="5"/>
      </patternFill>
    </fill>
    <fill>
      <patternFill patternType="solid">
        <fgColor theme="7"/>
        <bgColor indexed="64"/>
      </patternFill>
    </fill>
  </fills>
  <borders count="42">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7F7F7F"/>
      </right>
      <top style="thin">
        <color indexed="64"/>
      </top>
      <bottom style="thin">
        <color indexed="64"/>
      </bottom>
      <diagonal/>
    </border>
    <border>
      <left/>
      <right style="thin">
        <color rgb="FF7F7F7F"/>
      </right>
      <top style="thin">
        <color rgb="FF7F7F7F"/>
      </top>
      <bottom style="thin">
        <color rgb="FF7F7F7F"/>
      </bottom>
      <diagonal/>
    </border>
    <border>
      <left/>
      <right style="thin">
        <color rgb="FF7F7F7F"/>
      </right>
      <top/>
      <bottom style="thin">
        <color rgb="FF7F7F7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indexed="64"/>
      </bottom>
      <diagonal/>
    </border>
    <border>
      <left style="thin">
        <color indexed="64"/>
      </left>
      <right style="thin">
        <color theme="0"/>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style="thin">
        <color indexed="64"/>
      </top>
      <bottom/>
      <diagonal/>
    </border>
    <border>
      <left style="thin">
        <color theme="1"/>
      </left>
      <right style="thin">
        <color theme="1"/>
      </right>
      <top style="thin">
        <color theme="1"/>
      </top>
      <bottom style="thin">
        <color theme="1"/>
      </bottom>
      <diagonal/>
    </border>
    <border>
      <left/>
      <right/>
      <top style="thin">
        <color indexed="64"/>
      </top>
      <bottom style="thin">
        <color indexed="64"/>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theme="1"/>
      </left>
      <right style="thin">
        <color theme="1"/>
      </right>
      <top style="thin">
        <color theme="1"/>
      </top>
      <bottom/>
      <diagonal/>
    </border>
    <border>
      <left/>
      <right style="thin">
        <color theme="1"/>
      </right>
      <top style="thin">
        <color theme="1"/>
      </top>
      <bottom style="thin">
        <color theme="1"/>
      </bottom>
      <diagonal/>
    </border>
    <border>
      <left/>
      <right style="thin">
        <color theme="1"/>
      </right>
      <top style="thin">
        <color theme="1"/>
      </top>
      <bottom/>
      <diagonal/>
    </border>
    <border>
      <left style="thin">
        <color theme="1"/>
      </left>
      <right style="thin">
        <color theme="5"/>
      </right>
      <top style="thin">
        <color theme="1"/>
      </top>
      <bottom style="thin">
        <color theme="1"/>
      </bottom>
      <diagonal/>
    </border>
    <border>
      <left style="thin">
        <color theme="5"/>
      </left>
      <right style="thin">
        <color theme="5"/>
      </right>
      <top style="thin">
        <color theme="1"/>
      </top>
      <bottom style="thin">
        <color theme="1"/>
      </bottom>
      <diagonal/>
    </border>
    <border>
      <left style="thin">
        <color theme="5"/>
      </left>
      <right style="thin">
        <color theme="1"/>
      </right>
      <top style="thin">
        <color theme="1"/>
      </top>
      <bottom style="thin">
        <color theme="1"/>
      </bottom>
      <diagonal/>
    </border>
    <border>
      <left style="thin">
        <color rgb="FF7F7F7F"/>
      </left>
      <right style="thin">
        <color indexed="64"/>
      </right>
      <top style="thin">
        <color indexed="64"/>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style="thin">
        <color indexed="64"/>
      </left>
      <right style="medium">
        <color indexed="64"/>
      </right>
      <top/>
      <bottom/>
      <diagonal/>
    </border>
  </borders>
  <cellStyleXfs count="9">
    <xf numFmtId="0" fontId="0" fillId="0" borderId="0"/>
    <xf numFmtId="0" fontId="1" fillId="2" borderId="1" applyNumberFormat="0" applyAlignment="0" applyProtection="0"/>
    <xf numFmtId="9" fontId="2" fillId="0" borderId="0" applyFont="0" applyFill="0" applyBorder="0" applyAlignment="0" applyProtection="0"/>
    <xf numFmtId="9" fontId="7" fillId="0" borderId="0" applyFont="0" applyFill="0" applyBorder="0" applyAlignment="0" applyProtection="0"/>
    <xf numFmtId="0" fontId="9" fillId="0" borderId="0" applyNumberFormat="0" applyFill="0" applyBorder="0" applyAlignment="0" applyProtection="0"/>
    <xf numFmtId="0" fontId="5" fillId="9" borderId="19" applyNumberFormat="0" applyAlignment="0" applyProtection="0"/>
    <xf numFmtId="0" fontId="7" fillId="10" borderId="0" applyNumberFormat="0" applyBorder="0" applyAlignment="0" applyProtection="0"/>
    <xf numFmtId="0" fontId="11" fillId="11" borderId="0" applyNumberFormat="0" applyBorder="0" applyAlignment="0" applyProtection="0"/>
    <xf numFmtId="0" fontId="8" fillId="12" borderId="0" applyNumberFormat="0" applyBorder="0" applyAlignment="0" applyProtection="0"/>
  </cellStyleXfs>
  <cellXfs count="130">
    <xf numFmtId="0" fontId="0" fillId="0" borderId="0" xfId="0"/>
    <xf numFmtId="10" fontId="1" fillId="2" borderId="1" xfId="1" applyNumberFormat="1" applyAlignment="1" applyProtection="1">
      <protection locked="0"/>
    </xf>
    <xf numFmtId="10" fontId="1" fillId="2" borderId="1" xfId="1" applyNumberFormat="1" applyProtection="1">
      <protection locked="0"/>
    </xf>
    <xf numFmtId="0" fontId="3" fillId="0" borderId="0" xfId="0" applyFont="1"/>
    <xf numFmtId="0" fontId="5" fillId="5" borderId="2" xfId="0" applyFont="1" applyFill="1" applyBorder="1"/>
    <xf numFmtId="0" fontId="0" fillId="3" borderId="2" xfId="0" applyFill="1" applyBorder="1"/>
    <xf numFmtId="0" fontId="1" fillId="2" borderId="1" xfId="1"/>
    <xf numFmtId="164" fontId="1" fillId="2" borderId="1" xfId="1" applyNumberFormat="1"/>
    <xf numFmtId="165" fontId="1" fillId="2" borderId="1" xfId="1" applyNumberFormat="1"/>
    <xf numFmtId="10" fontId="0" fillId="0" borderId="2" xfId="3" applyNumberFormat="1" applyFont="1" applyBorder="1"/>
    <xf numFmtId="165" fontId="0" fillId="0" borderId="2" xfId="0" applyNumberFormat="1" applyBorder="1"/>
    <xf numFmtId="10" fontId="0" fillId="0" borderId="2" xfId="0" applyNumberFormat="1" applyBorder="1"/>
    <xf numFmtId="165" fontId="0" fillId="0" borderId="0" xfId="0" applyNumberFormat="1"/>
    <xf numFmtId="9" fontId="1" fillId="2" borderId="5" xfId="1" applyNumberFormat="1" applyBorder="1"/>
    <xf numFmtId="9" fontId="1" fillId="2" borderId="6" xfId="1" applyNumberFormat="1" applyBorder="1"/>
    <xf numFmtId="0" fontId="0" fillId="0" borderId="2" xfId="0" applyBorder="1"/>
    <xf numFmtId="164" fontId="0" fillId="0" borderId="2" xfId="0" applyNumberFormat="1" applyBorder="1"/>
    <xf numFmtId="10" fontId="0" fillId="6" borderId="2" xfId="3" applyNumberFormat="1" applyFont="1" applyFill="1" applyBorder="1"/>
    <xf numFmtId="165" fontId="0" fillId="6" borderId="2" xfId="0" applyNumberFormat="1" applyFill="1" applyBorder="1"/>
    <xf numFmtId="10" fontId="0" fillId="0" borderId="0" xfId="0" applyNumberFormat="1"/>
    <xf numFmtId="1" fontId="0" fillId="6" borderId="2" xfId="0" applyNumberFormat="1" applyFill="1" applyBorder="1"/>
    <xf numFmtId="0" fontId="5" fillId="5" borderId="2" xfId="0" applyFont="1" applyFill="1" applyBorder="1" applyAlignment="1">
      <alignment horizontal="right"/>
    </xf>
    <xf numFmtId="10" fontId="0" fillId="8" borderId="2" xfId="0" applyNumberFormat="1" applyFill="1" applyBorder="1"/>
    <xf numFmtId="165" fontId="0" fillId="8" borderId="2" xfId="0" applyNumberFormat="1" applyFill="1" applyBorder="1"/>
    <xf numFmtId="9" fontId="0" fillId="0" borderId="2" xfId="0" applyNumberFormat="1" applyBorder="1"/>
    <xf numFmtId="0" fontId="0" fillId="5" borderId="0" xfId="0" applyFill="1"/>
    <xf numFmtId="0" fontId="9" fillId="0" borderId="2" xfId="4" applyBorder="1"/>
    <xf numFmtId="0" fontId="0" fillId="0" borderId="2" xfId="0" applyBorder="1" applyAlignment="1">
      <alignment horizontal="center"/>
    </xf>
    <xf numFmtId="0" fontId="5" fillId="5" borderId="10" xfId="0" applyFont="1" applyFill="1" applyBorder="1" applyAlignment="1">
      <alignment horizontal="right"/>
    </xf>
    <xf numFmtId="0" fontId="5" fillId="5" borderId="12" xfId="0" applyFont="1" applyFill="1" applyBorder="1" applyAlignment="1">
      <alignment horizontal="right"/>
    </xf>
    <xf numFmtId="0" fontId="5" fillId="5" borderId="14" xfId="0" applyFont="1" applyFill="1" applyBorder="1" applyAlignment="1">
      <alignment horizontal="center"/>
    </xf>
    <xf numFmtId="0" fontId="5" fillId="5" borderId="13" xfId="0" applyFont="1" applyFill="1" applyBorder="1"/>
    <xf numFmtId="0" fontId="0" fillId="5" borderId="2" xfId="0" applyFill="1" applyBorder="1"/>
    <xf numFmtId="0" fontId="0" fillId="0" borderId="16" xfId="0" applyBorder="1"/>
    <xf numFmtId="0" fontId="0" fillId="3" borderId="16" xfId="0" applyFill="1" applyBorder="1"/>
    <xf numFmtId="165" fontId="0" fillId="0" borderId="16" xfId="0" applyNumberFormat="1" applyBorder="1"/>
    <xf numFmtId="0" fontId="0" fillId="0" borderId="2" xfId="0" applyBorder="1" applyAlignment="1">
      <alignment horizontal="right"/>
    </xf>
    <xf numFmtId="0" fontId="0" fillId="0" borderId="9" xfId="0" applyBorder="1"/>
    <xf numFmtId="0" fontId="0" fillId="0" borderId="3" xfId="0" applyBorder="1"/>
    <xf numFmtId="0" fontId="0" fillId="0" borderId="11" xfId="0" applyBorder="1" applyAlignment="1">
      <alignment horizontal="right"/>
    </xf>
    <xf numFmtId="0" fontId="0" fillId="0" borderId="0" xfId="0" applyBorder="1"/>
    <xf numFmtId="0" fontId="0" fillId="0" borderId="17" xfId="0" applyBorder="1"/>
    <xf numFmtId="0" fontId="0" fillId="0" borderId="15" xfId="0" applyBorder="1"/>
    <xf numFmtId="0" fontId="0" fillId="0" borderId="16" xfId="0" applyFill="1" applyBorder="1" applyAlignment="1">
      <alignment horizontal="right"/>
    </xf>
    <xf numFmtId="10" fontId="0" fillId="0" borderId="16" xfId="3" applyNumberFormat="1" applyFont="1" applyBorder="1"/>
    <xf numFmtId="10" fontId="0" fillId="0" borderId="16" xfId="0" applyNumberFormat="1" applyBorder="1"/>
    <xf numFmtId="166" fontId="0" fillId="0" borderId="16" xfId="0" applyNumberFormat="1" applyBorder="1"/>
    <xf numFmtId="2" fontId="1" fillId="2" borderId="1" xfId="1" applyNumberFormat="1"/>
    <xf numFmtId="0" fontId="0" fillId="6" borderId="2" xfId="0" applyFill="1" applyBorder="1"/>
    <xf numFmtId="0" fontId="0" fillId="6" borderId="2" xfId="0" applyFill="1" applyBorder="1" applyAlignment="1">
      <alignment horizontal="center"/>
    </xf>
    <xf numFmtId="0" fontId="1" fillId="2" borderId="1" xfId="1" applyAlignment="1">
      <alignment horizontal="center"/>
    </xf>
    <xf numFmtId="10" fontId="1" fillId="2" borderId="1" xfId="1" applyNumberFormat="1" applyAlignment="1" applyProtection="1">
      <alignment horizontal="center"/>
      <protection locked="0"/>
    </xf>
    <xf numFmtId="164" fontId="7" fillId="10" borderId="1" xfId="6" applyNumberFormat="1" applyBorder="1"/>
    <xf numFmtId="2" fontId="7" fillId="10" borderId="1" xfId="6" applyNumberFormat="1" applyBorder="1"/>
    <xf numFmtId="165" fontId="7" fillId="10" borderId="1" xfId="6" applyNumberFormat="1" applyBorder="1"/>
    <xf numFmtId="0" fontId="7" fillId="6" borderId="2" xfId="6" applyFill="1" applyBorder="1" applyAlignment="1">
      <alignment horizontal="center"/>
    </xf>
    <xf numFmtId="0" fontId="9" fillId="0" borderId="0" xfId="4"/>
    <xf numFmtId="2" fontId="0" fillId="0" borderId="2" xfId="0" applyNumberFormat="1" applyBorder="1"/>
    <xf numFmtId="0" fontId="0" fillId="0" borderId="0" xfId="0" applyBorder="1" applyAlignment="1"/>
    <xf numFmtId="164" fontId="0" fillId="0" borderId="2" xfId="3" applyNumberFormat="1" applyFont="1" applyBorder="1"/>
    <xf numFmtId="168" fontId="0" fillId="0" borderId="2" xfId="0" applyNumberFormat="1" applyBorder="1"/>
    <xf numFmtId="164" fontId="0" fillId="0" borderId="0" xfId="3" applyNumberFormat="1" applyFont="1" applyBorder="1"/>
    <xf numFmtId="0" fontId="0" fillId="0" borderId="0" xfId="0" applyFill="1"/>
    <xf numFmtId="0" fontId="0" fillId="0" borderId="26" xfId="0" applyBorder="1"/>
    <xf numFmtId="165" fontId="0" fillId="0" borderId="26" xfId="0" applyNumberFormat="1" applyBorder="1"/>
    <xf numFmtId="2" fontId="0" fillId="0" borderId="26" xfId="0" applyNumberFormat="1" applyBorder="1"/>
    <xf numFmtId="165" fontId="0" fillId="0" borderId="27" xfId="0" applyNumberFormat="1" applyBorder="1"/>
    <xf numFmtId="164" fontId="0" fillId="0" borderId="9" xfId="0" applyNumberFormat="1" applyBorder="1"/>
    <xf numFmtId="10" fontId="0" fillId="0" borderId="25" xfId="3" applyNumberFormat="1" applyFont="1" applyBorder="1"/>
    <xf numFmtId="0" fontId="1" fillId="2" borderId="31" xfId="1" applyBorder="1"/>
    <xf numFmtId="0" fontId="0" fillId="0" borderId="23" xfId="0" applyBorder="1"/>
    <xf numFmtId="0" fontId="0" fillId="0" borderId="35" xfId="0" applyBorder="1"/>
    <xf numFmtId="0" fontId="0" fillId="0" borderId="36" xfId="0" applyBorder="1"/>
    <xf numFmtId="0" fontId="5" fillId="9" borderId="19" xfId="5" applyBorder="1" applyAlignment="1">
      <alignment horizontal="center"/>
    </xf>
    <xf numFmtId="0" fontId="10" fillId="0" borderId="0" xfId="0" applyFont="1" applyBorder="1" applyAlignment="1">
      <alignment horizontal="center"/>
    </xf>
    <xf numFmtId="0" fontId="10" fillId="0" borderId="0" xfId="0" quotePrefix="1" applyFont="1" applyBorder="1" applyAlignment="1">
      <alignment horizontal="center"/>
    </xf>
    <xf numFmtId="0" fontId="0" fillId="0" borderId="37" xfId="0" applyBorder="1"/>
    <xf numFmtId="0" fontId="0" fillId="0" borderId="38" xfId="0" applyBorder="1"/>
    <xf numFmtId="0" fontId="0" fillId="0" borderId="39" xfId="0" applyBorder="1"/>
    <xf numFmtId="168" fontId="0" fillId="0" borderId="0" xfId="0" applyNumberFormat="1" applyBorder="1"/>
    <xf numFmtId="0" fontId="0" fillId="0" borderId="21" xfId="0" applyBorder="1"/>
    <xf numFmtId="0" fontId="0" fillId="0" borderId="41" xfId="0" applyBorder="1"/>
    <xf numFmtId="0" fontId="1" fillId="2" borderId="1" xfId="1" applyAlignment="1">
      <alignment horizontal="right"/>
    </xf>
    <xf numFmtId="0" fontId="1" fillId="6" borderId="31" xfId="1" applyFill="1" applyBorder="1"/>
    <xf numFmtId="0" fontId="0" fillId="0" borderId="0" xfId="0" applyFill="1" applyAlignment="1"/>
    <xf numFmtId="0" fontId="10" fillId="13" borderId="7" xfId="0" applyFont="1" applyFill="1" applyBorder="1" applyAlignment="1">
      <alignment horizontal="center"/>
    </xf>
    <xf numFmtId="0" fontId="10" fillId="13" borderId="40" xfId="0" applyFont="1" applyFill="1" applyBorder="1" applyAlignment="1">
      <alignment horizontal="center"/>
    </xf>
    <xf numFmtId="0" fontId="10" fillId="13" borderId="8" xfId="0" applyFont="1" applyFill="1" applyBorder="1" applyAlignment="1">
      <alignment horizontal="center"/>
    </xf>
    <xf numFmtId="0" fontId="5" fillId="12" borderId="7" xfId="8" applyFont="1" applyBorder="1" applyAlignment="1">
      <alignment horizontal="center"/>
    </xf>
    <xf numFmtId="0" fontId="5" fillId="12" borderId="40" xfId="8" applyFont="1" applyBorder="1" applyAlignment="1">
      <alignment horizontal="center"/>
    </xf>
    <xf numFmtId="0" fontId="5" fillId="12" borderId="8" xfId="8" applyFont="1" applyBorder="1" applyAlignment="1">
      <alignment horizontal="center"/>
    </xf>
    <xf numFmtId="0" fontId="5" fillId="5" borderId="20" xfId="0" applyFont="1" applyFill="1" applyBorder="1" applyAlignment="1">
      <alignment horizontal="center"/>
    </xf>
    <xf numFmtId="0" fontId="5" fillId="5" borderId="0" xfId="0" applyFont="1" applyFill="1" applyBorder="1" applyAlignment="1">
      <alignment horizontal="center"/>
    </xf>
    <xf numFmtId="0" fontId="3" fillId="3" borderId="3" xfId="0" applyFont="1" applyFill="1" applyBorder="1" applyAlignment="1">
      <alignment horizontal="left"/>
    </xf>
    <xf numFmtId="0" fontId="3" fillId="3" borderId="4" xfId="0" applyFont="1" applyFill="1" applyBorder="1" applyAlignment="1">
      <alignment horizontal="left"/>
    </xf>
    <xf numFmtId="0" fontId="0" fillId="3" borderId="2" xfId="0" applyFill="1" applyBorder="1" applyAlignment="1">
      <alignment horizontal="left" wrapText="1"/>
    </xf>
    <xf numFmtId="0" fontId="4" fillId="4" borderId="2" xfId="0" applyFont="1" applyFill="1" applyBorder="1" applyAlignment="1">
      <alignment horizontal="center"/>
    </xf>
    <xf numFmtId="0" fontId="5" fillId="5" borderId="16" xfId="0" applyFont="1" applyFill="1" applyBorder="1" applyAlignment="1">
      <alignment horizontal="center"/>
    </xf>
    <xf numFmtId="0" fontId="3" fillId="3" borderId="28" xfId="0" applyFont="1" applyFill="1" applyBorder="1" applyAlignment="1">
      <alignment horizontal="left"/>
    </xf>
    <xf numFmtId="0" fontId="3" fillId="3" borderId="29" xfId="0" applyFont="1" applyFill="1" applyBorder="1" applyAlignment="1">
      <alignment horizontal="left"/>
    </xf>
    <xf numFmtId="0" fontId="3" fillId="3" borderId="30" xfId="0" applyFont="1" applyFill="1" applyBorder="1" applyAlignment="1">
      <alignment horizontal="left"/>
    </xf>
    <xf numFmtId="0" fontId="0" fillId="0" borderId="15" xfId="0" applyBorder="1" applyAlignment="1">
      <alignment horizontal="left" vertical="top" wrapText="1"/>
    </xf>
    <xf numFmtId="0" fontId="0" fillId="0" borderId="24" xfId="0" applyBorder="1" applyAlignment="1">
      <alignment horizontal="left" vertical="top" wrapText="1"/>
    </xf>
    <xf numFmtId="0" fontId="0" fillId="0" borderId="22" xfId="0" applyBorder="1" applyAlignment="1">
      <alignment horizontal="left" vertical="top" wrapText="1"/>
    </xf>
    <xf numFmtId="0" fontId="0" fillId="0" borderId="18" xfId="0" applyBorder="1" applyAlignment="1">
      <alignment horizontal="left" vertical="top" wrapText="1"/>
    </xf>
    <xf numFmtId="0" fontId="12" fillId="11" borderId="7" xfId="7" applyFont="1" applyBorder="1" applyAlignment="1">
      <alignment horizontal="center"/>
    </xf>
    <xf numFmtId="0" fontId="12" fillId="11" borderId="40" xfId="7" applyFont="1" applyBorder="1" applyAlignment="1">
      <alignment horizontal="center"/>
    </xf>
    <xf numFmtId="0" fontId="12" fillId="11" borderId="8" xfId="7" applyFont="1" applyBorder="1" applyAlignment="1">
      <alignment horizontal="center"/>
    </xf>
    <xf numFmtId="0" fontId="3" fillId="3" borderId="28" xfId="0" applyFont="1" applyFill="1" applyBorder="1" applyAlignment="1"/>
    <xf numFmtId="0" fontId="3" fillId="3" borderId="29" xfId="0" applyFont="1" applyFill="1" applyBorder="1" applyAlignment="1"/>
    <xf numFmtId="0" fontId="3" fillId="3" borderId="30" xfId="0" applyFont="1" applyFill="1" applyBorder="1" applyAlignment="1"/>
    <xf numFmtId="0" fontId="8" fillId="5" borderId="0" xfId="0" applyFont="1" applyFill="1" applyBorder="1" applyAlignment="1">
      <alignment horizontal="center" vertical="center"/>
    </xf>
    <xf numFmtId="0" fontId="8" fillId="5" borderId="18" xfId="0" applyFont="1" applyFill="1" applyBorder="1" applyAlignment="1">
      <alignment horizontal="center" vertical="center"/>
    </xf>
    <xf numFmtId="0" fontId="5" fillId="5" borderId="0" xfId="0" applyFont="1" applyFill="1" applyAlignment="1">
      <alignment horizontal="center" wrapText="1"/>
    </xf>
    <xf numFmtId="0" fontId="5" fillId="5" borderId="0" xfId="0" applyFont="1" applyFill="1" applyAlignment="1">
      <alignment horizontal="center" vertical="center" wrapText="1"/>
    </xf>
    <xf numFmtId="0" fontId="0" fillId="3" borderId="2" xfId="0" applyFill="1" applyBorder="1" applyAlignment="1">
      <alignment horizontal="center" wrapText="1"/>
    </xf>
    <xf numFmtId="0" fontId="5" fillId="7" borderId="2" xfId="0" applyFont="1" applyFill="1" applyBorder="1" applyAlignment="1">
      <alignment horizontal="center"/>
    </xf>
    <xf numFmtId="0" fontId="11" fillId="11" borderId="7" xfId="7" applyFont="1" applyBorder="1" applyAlignment="1">
      <alignment horizontal="center"/>
    </xf>
    <xf numFmtId="0" fontId="11" fillId="11" borderId="40" xfId="7" applyFont="1" applyBorder="1" applyAlignment="1">
      <alignment horizontal="center"/>
    </xf>
    <xf numFmtId="0" fontId="11" fillId="11" borderId="8" xfId="7" applyFont="1" applyBorder="1" applyAlignment="1">
      <alignment horizontal="center"/>
    </xf>
    <xf numFmtId="0" fontId="12" fillId="11" borderId="32" xfId="7" applyFont="1" applyBorder="1" applyAlignment="1">
      <alignment horizontal="center" wrapText="1"/>
    </xf>
    <xf numFmtId="0" fontId="12" fillId="11" borderId="33" xfId="7" applyFont="1" applyBorder="1" applyAlignment="1">
      <alignment horizontal="center" wrapText="1"/>
    </xf>
    <xf numFmtId="0" fontId="12" fillId="11" borderId="34" xfId="7" applyFont="1" applyBorder="1" applyAlignment="1">
      <alignment horizontal="center" wrapText="1"/>
    </xf>
    <xf numFmtId="0" fontId="12" fillId="11" borderId="39" xfId="7" applyFont="1" applyBorder="1" applyAlignment="1">
      <alignment horizontal="center" wrapText="1"/>
    </xf>
    <xf numFmtId="0" fontId="12" fillId="11" borderId="37" xfId="7" applyFont="1" applyBorder="1" applyAlignment="1">
      <alignment horizontal="center" wrapText="1"/>
    </xf>
    <xf numFmtId="0" fontId="12" fillId="11" borderId="38" xfId="7" applyFont="1" applyBorder="1" applyAlignment="1">
      <alignment horizontal="center" wrapText="1"/>
    </xf>
    <xf numFmtId="0" fontId="0" fillId="3" borderId="2" xfId="0" applyFill="1" applyBorder="1" applyAlignment="1">
      <alignment horizontal="left"/>
    </xf>
    <xf numFmtId="0" fontId="5" fillId="7" borderId="0" xfId="0" applyFont="1" applyFill="1" applyBorder="1" applyAlignment="1">
      <alignment horizontal="center"/>
    </xf>
    <xf numFmtId="0" fontId="5" fillId="5" borderId="0" xfId="0" applyFont="1" applyFill="1" applyAlignment="1">
      <alignment horizontal="center"/>
    </xf>
    <xf numFmtId="0" fontId="8" fillId="7" borderId="2" xfId="0" applyFont="1" applyFill="1" applyBorder="1" applyAlignment="1">
      <alignment horizontal="center"/>
    </xf>
  </cellXfs>
  <cellStyles count="9">
    <cellStyle name="20% - Accent5" xfId="6" builtinId="46"/>
    <cellStyle name="Accent1" xfId="7" builtinId="29"/>
    <cellStyle name="Accent2" xfId="8" builtinId="33"/>
    <cellStyle name="Check Cell" xfId="5" builtinId="23"/>
    <cellStyle name="Hyperlink" xfId="4" builtinId="8"/>
    <cellStyle name="Input" xfId="1" builtinId="20"/>
    <cellStyle name="Normal" xfId="0" builtinId="0"/>
    <cellStyle name="Percent" xfId="3" builtinId="5"/>
    <cellStyle name="Percent 2" xfId="2" xr:uid="{59B56B1E-9CDD-49F0-AD2C-DE1819710EF7}"/>
  </cellStyles>
  <dxfs count="33">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border>
        <left/>
        <right/>
        <bottom/>
        <vertical/>
        <horizontal/>
      </border>
    </dxf>
    <dxf>
      <numFmt numFmtId="169" formatCode=";;;"/>
      <fill>
        <patternFill patternType="none">
          <bgColor auto="1"/>
        </patternFill>
      </fill>
      <border>
        <left/>
        <right/>
        <bottom/>
        <vertical/>
        <horizontal/>
      </border>
    </dxf>
    <dxf>
      <border>
        <left/>
        <right/>
        <bottom/>
        <vertical/>
        <horizontal/>
      </border>
    </dxf>
    <dxf>
      <numFmt numFmtId="169" formatCode=";;;"/>
      <fill>
        <patternFill patternType="none">
          <bgColor auto="1"/>
        </patternFill>
      </fill>
      <border>
        <left/>
        <right/>
        <bottom/>
        <vertical/>
        <horizontal/>
      </border>
    </dxf>
    <dxf>
      <numFmt numFmtId="169" formatCode=";;;"/>
      <fill>
        <patternFill patternType="none">
          <bgColor auto="1"/>
        </patternFill>
      </fill>
      <border>
        <left/>
        <right/>
        <bottom/>
        <vertical/>
        <horizontal/>
      </border>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'NPV Profile'!$BB$39</c:f>
          <c:strCache>
            <c:ptCount val="1"/>
            <c:pt idx="0">
              <c:v>NPV Profile for ProjectC</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'NPV Profile'!$BA$10:$BA$30</c:f>
              <c:numCache>
                <c:formatCode>0.00%</c:formatCode>
                <c:ptCount val="21"/>
                <c:pt idx="0" formatCode="0%">
                  <c:v>-0.1</c:v>
                </c:pt>
                <c:pt idx="1">
                  <c:v>-0.08</c:v>
                </c:pt>
                <c:pt idx="2">
                  <c:v>-0.06</c:v>
                </c:pt>
                <c:pt idx="3">
                  <c:v>-3.9999999999999994E-2</c:v>
                </c:pt>
                <c:pt idx="4">
                  <c:v>-1.9999999999999993E-2</c:v>
                </c:pt>
                <c:pt idx="5">
                  <c:v>0</c:v>
                </c:pt>
                <c:pt idx="6">
                  <c:v>0.02</c:v>
                </c:pt>
                <c:pt idx="7">
                  <c:v>0.04</c:v>
                </c:pt>
                <c:pt idx="8">
                  <c:v>0.06</c:v>
                </c:pt>
                <c:pt idx="9">
                  <c:v>0.08</c:v>
                </c:pt>
                <c:pt idx="10">
                  <c:v>0.1</c:v>
                </c:pt>
                <c:pt idx="11">
                  <c:v>0.12000000000000001</c:v>
                </c:pt>
                <c:pt idx="12">
                  <c:v>0.14000000000000001</c:v>
                </c:pt>
                <c:pt idx="13">
                  <c:v>0.16</c:v>
                </c:pt>
                <c:pt idx="14">
                  <c:v>0.18</c:v>
                </c:pt>
                <c:pt idx="15">
                  <c:v>0.19999999999999998</c:v>
                </c:pt>
                <c:pt idx="16">
                  <c:v>0.21999999999999997</c:v>
                </c:pt>
                <c:pt idx="17">
                  <c:v>0.23999999999999996</c:v>
                </c:pt>
                <c:pt idx="18">
                  <c:v>0.25999999999999995</c:v>
                </c:pt>
                <c:pt idx="19">
                  <c:v>0.27999999999999997</c:v>
                </c:pt>
                <c:pt idx="20">
                  <c:v>0.3</c:v>
                </c:pt>
              </c:numCache>
            </c:numRef>
          </c:xVal>
          <c:yVal>
            <c:numRef>
              <c:f>'NPV Profile'!$BB$10:$BB$30</c:f>
              <c:numCache>
                <c:formatCode>"$"#,##0</c:formatCode>
                <c:ptCount val="21"/>
                <c:pt idx="0">
                  <c:v>67662.65555803715</c:v>
                </c:pt>
                <c:pt idx="1">
                  <c:v>53521.044208372055</c:v>
                </c:pt>
                <c:pt idx="2">
                  <c:v>41960.461894584616</c:v>
                </c:pt>
                <c:pt idx="3">
                  <c:v>32446.898893484271</c:v>
                </c:pt>
                <c:pt idx="4">
                  <c:v>24567.277538373506</c:v>
                </c:pt>
                <c:pt idx="5">
                  <c:v>18000</c:v>
                </c:pt>
                <c:pt idx="6">
                  <c:v>12493.126423970185</c:v>
                </c:pt>
                <c:pt idx="7">
                  <c:v>7848.0964680264951</c:v>
                </c:pt>
                <c:pt idx="8">
                  <c:v>3907.5064209797201</c:v>
                </c:pt>
                <c:pt idx="9">
                  <c:v>545.87350044324194</c:v>
                </c:pt>
                <c:pt idx="10">
                  <c:v>-2337.385261745032</c:v>
                </c:pt>
                <c:pt idx="11">
                  <c:v>-4823.3219936309833</c:v>
                </c:pt>
                <c:pt idx="12">
                  <c:v>-6977.5869386744998</c:v>
                </c:pt>
                <c:pt idx="13">
                  <c:v>-8853.621258595671</c:v>
                </c:pt>
                <c:pt idx="14">
                  <c:v>-10495.139084993501</c:v>
                </c:pt>
                <c:pt idx="15">
                  <c:v>-11938.066994678149</c:v>
                </c:pt>
                <c:pt idx="16">
                  <c:v>-13212.067094900016</c:v>
                </c:pt>
                <c:pt idx="17">
                  <c:v>-14341.738916710639</c:v>
                </c:pt>
                <c:pt idx="18">
                  <c:v>-15347.572316481739</c:v>
                </c:pt>
                <c:pt idx="19">
                  <c:v>-16246.706423988417</c:v>
                </c:pt>
                <c:pt idx="20">
                  <c:v>-17053.536801527502</c:v>
                </c:pt>
              </c:numCache>
            </c:numRef>
          </c:yVal>
          <c:smooth val="1"/>
          <c:extLst>
            <c:ext xmlns:c16="http://schemas.microsoft.com/office/drawing/2014/chart" uri="{C3380CC4-5D6E-409C-BE32-E72D297353CC}">
              <c16:uniqueId val="{00000000-3448-4E68-A141-48F0B0E23CA3}"/>
            </c:ext>
          </c:extLst>
        </c:ser>
        <c:ser>
          <c:idx val="1"/>
          <c:order val="1"/>
          <c:spPr>
            <a:ln w="19050" cap="rnd">
              <a:solidFill>
                <a:schemeClr val="accent2"/>
              </a:solidFill>
              <a:prstDash val="dash"/>
              <a:round/>
            </a:ln>
            <a:effectLst/>
          </c:spPr>
          <c:marker>
            <c:symbol val="circle"/>
            <c:size val="5"/>
            <c:spPr>
              <a:solidFill>
                <a:schemeClr val="accent2"/>
              </a:solidFill>
              <a:ln w="9525">
                <a:solidFill>
                  <a:schemeClr val="accent2"/>
                </a:solidFill>
              </a:ln>
              <a:effectLst/>
            </c:spPr>
          </c:marker>
          <c:xVal>
            <c:numRef>
              <c:f>'NPV Profile'!$BA$35:$BA$37</c:f>
              <c:numCache>
                <c:formatCode>0.00%</c:formatCode>
                <c:ptCount val="3"/>
                <c:pt idx="0">
                  <c:v>6.8000000000000005E-2</c:v>
                </c:pt>
                <c:pt idx="1">
                  <c:v>6.8000000000000005E-2</c:v>
                </c:pt>
                <c:pt idx="2">
                  <c:v>0</c:v>
                </c:pt>
              </c:numCache>
            </c:numRef>
          </c:xVal>
          <c:yVal>
            <c:numRef>
              <c:f>'NPV Profile'!$BB$35:$BB$37</c:f>
              <c:numCache>
                <c:formatCode>"$"#,##0</c:formatCode>
                <c:ptCount val="3"/>
                <c:pt idx="0">
                  <c:v>0</c:v>
                </c:pt>
                <c:pt idx="1">
                  <c:v>2499.5044362277549</c:v>
                </c:pt>
                <c:pt idx="2">
                  <c:v>2499.5044362277549</c:v>
                </c:pt>
              </c:numCache>
            </c:numRef>
          </c:yVal>
          <c:smooth val="0"/>
          <c:extLst>
            <c:ext xmlns:c16="http://schemas.microsoft.com/office/drawing/2014/chart" uri="{C3380CC4-5D6E-409C-BE32-E72D297353CC}">
              <c16:uniqueId val="{00000002-3448-4E68-A141-48F0B0E23CA3}"/>
            </c:ext>
          </c:extLst>
        </c:ser>
        <c:dLbls>
          <c:showLegendKey val="0"/>
          <c:showVal val="0"/>
          <c:showCatName val="0"/>
          <c:showSerName val="0"/>
          <c:showPercent val="0"/>
          <c:showBubbleSize val="0"/>
        </c:dLbls>
        <c:axId val="6198752"/>
        <c:axId val="6201248"/>
      </c:scatterChart>
      <c:valAx>
        <c:axId val="619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1248"/>
        <c:crosses val="autoZero"/>
        <c:crossBetween val="midCat"/>
      </c:valAx>
      <c:valAx>
        <c:axId val="62012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87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330200</xdr:colOff>
          <xdr:row>4</xdr:row>
          <xdr:rowOff>114300</xdr:rowOff>
        </xdr:from>
        <xdr:to>
          <xdr:col>13</xdr:col>
          <xdr:colOff>228600</xdr:colOff>
          <xdr:row>6</xdr:row>
          <xdr:rowOff>101600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xdr:twoCellAnchor>
    <xdr:from>
      <xdr:col>0</xdr:col>
      <xdr:colOff>19050</xdr:colOff>
      <xdr:row>1</xdr:row>
      <xdr:rowOff>19050</xdr:rowOff>
    </xdr:from>
    <xdr:to>
      <xdr:col>9</xdr:col>
      <xdr:colOff>260350</xdr:colOff>
      <xdr:row>84</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9050" y="209550"/>
          <a:ext cx="5784850" cy="153035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a:t>Introduction:</a:t>
          </a:r>
        </a:p>
        <a:p>
          <a:endParaRPr lang="en-CA" sz="1100"/>
        </a:p>
        <a:p>
          <a:r>
            <a:rPr lang="en-CA" sz="1100" i="1"/>
            <a:t>This</a:t>
          </a:r>
          <a:r>
            <a:rPr lang="en-CA" sz="1100" i="1" baseline="0"/>
            <a:t> model can help build a </a:t>
          </a:r>
          <a:r>
            <a:rPr lang="en-CA" sz="1100" b="1" i="1" baseline="0"/>
            <a:t>NPV Profiles </a:t>
          </a:r>
          <a:r>
            <a:rPr lang="en-CA" sz="1100" i="1" baseline="0"/>
            <a:t>and </a:t>
          </a:r>
          <a:r>
            <a:rPr lang="en-CA" sz="1100" b="1" i="1" baseline="0"/>
            <a:t>Portfolio of Optimal Set of Projects </a:t>
          </a:r>
          <a:r>
            <a:rPr lang="en-CA" sz="1100" i="1" baseline="0"/>
            <a:t>from a set of several available projects.  User can find the opimal set of projects under the specific constraints such as amount of Capital available and risk tollerance.</a:t>
          </a:r>
        </a:p>
        <a:p>
          <a:r>
            <a:rPr lang="en-CA" sz="1100" i="1" baseline="0"/>
            <a:t>The details of computing the discount rate, NPV, IRR, Payback period and selecting the optimal set of projects is explained in the technical details section. </a:t>
          </a:r>
        </a:p>
        <a:p>
          <a:endParaRPr lang="en-CA" sz="1100" b="1" baseline="0"/>
        </a:p>
        <a:p>
          <a:endParaRPr lang="en-CA" sz="1100" b="0" baseline="0"/>
        </a:p>
        <a:p>
          <a:r>
            <a:rPr lang="en-CA" sz="1400" b="1"/>
            <a:t>Using</a:t>
          </a:r>
          <a:r>
            <a:rPr lang="en-CA" sz="1400" b="1" baseline="0"/>
            <a:t> The Model:</a:t>
          </a:r>
        </a:p>
        <a:p>
          <a:r>
            <a:rPr lang="en-CA" sz="1100" b="0" i="0" baseline="0">
              <a:solidFill>
                <a:schemeClr val="dk1"/>
              </a:solidFill>
              <a:effectLst/>
              <a:latin typeface="+mn-lt"/>
              <a:ea typeface="+mn-ea"/>
              <a:cs typeface="+mn-cs"/>
            </a:rPr>
            <a:t>The user is allowed to input the following information:</a:t>
          </a:r>
        </a:p>
        <a:p>
          <a:r>
            <a:rPr lang="en-CA" sz="1100" b="0" i="0" baseline="0">
              <a:solidFill>
                <a:schemeClr val="dk1"/>
              </a:solidFill>
              <a:effectLst/>
              <a:latin typeface="+mn-lt"/>
              <a:ea typeface="+mn-ea"/>
              <a:cs typeface="+mn-cs"/>
            </a:rPr>
            <a:t>User can only enter the capital constraints between $50000 and $500000, beta constraints between 0 to 2. and market risk premium must be a positive number, and length of project should be in years.</a:t>
          </a:r>
          <a:endParaRPr lang="en-CA" sz="1100" b="1" baseline="0"/>
        </a:p>
        <a:p>
          <a:endParaRPr lang="en-CA" sz="1100" b="1" baseline="0"/>
        </a:p>
        <a:p>
          <a:r>
            <a:rPr lang="en-CA" sz="1100" b="0" baseline="0"/>
            <a:t>1. Input Risk Free Rate and Market Risk Premium on the Summary worksheet which is used to compute the discount rate for cash flows of each project. CAPM model is used to calculate the apprpriate rate. </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2. Life of the project in years and beta for each project. It can range from 3 to 25 years.</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3. Projected cash flows for each project in each year. The number of years for which cash flows is to be projected depends on the life of the project entered by the user.</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3. To find the optimal project selection user can update minimum and maximum capital and beta constraints in the Summary worksheet. </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4. User can also define set of projects as Mutually Excluisive to each other, which means at most one one of the project will be accepted.</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5. Select whether or not projects with negative NPV are to be included in the optimal set of projects.</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6. User can also change the project name by changing the names of the Yellow highlighted project worksheet tabs. Please do not change names of other worksheet tabs</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7. User can also see the Portfolio as well as each individual project NPV's with various discount rates. User can also change the range of the discount rates on the NPV Profile worksheet tab. </a:t>
          </a:r>
        </a:p>
        <a:p>
          <a:pPr marL="0" marR="0" lvl="0" indent="0" defTabSz="914400" eaLnBrk="1" fontAlgn="auto" latinLnBrk="0" hangingPunct="1">
            <a:lnSpc>
              <a:spcPct val="100000"/>
            </a:lnSpc>
            <a:spcBef>
              <a:spcPts val="0"/>
            </a:spcBef>
            <a:spcAft>
              <a:spcPts val="0"/>
            </a:spcAft>
            <a:buClrTx/>
            <a:buSzTx/>
            <a:buFontTx/>
            <a:buNone/>
            <a:tabLst/>
            <a:defRPr/>
          </a:pPr>
          <a:endParaRPr lang="en-CA"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The user should enter the project life, beta and projected cash flows for each project in the respective tabs highlighted in yellow. Sensitivity of NPV for each project to the function of discount rates can be seen in the tab NPV profile. Miminum and maximum discount rate needs to be entered the by user while number of steps is fixed to 20. Click 'Find Optimal Set of Projects' button in the summary sheet after entering all the input values. Selected projects will be highlighted in yellow. </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Use the navigate buttons to navigat between project, summary and NPV Profile.</a:t>
          </a:r>
        </a:p>
        <a:p>
          <a:pPr marL="0" marR="0" lvl="0" indent="0" defTabSz="914400" eaLnBrk="1" fontAlgn="auto" latinLnBrk="0" hangingPunct="1">
            <a:lnSpc>
              <a:spcPct val="100000"/>
            </a:lnSpc>
            <a:spcBef>
              <a:spcPts val="0"/>
            </a:spcBef>
            <a:spcAft>
              <a:spcPts val="0"/>
            </a:spcAft>
            <a:buClrTx/>
            <a:buSzTx/>
            <a:buFontTx/>
            <a:buNone/>
            <a:tabLst/>
            <a:defRPr/>
          </a:pPr>
          <a:endParaRPr lang="en-CA" sz="1400" b="0" baseline="0"/>
        </a:p>
        <a:p>
          <a:pPr marL="0" marR="0" lvl="0" indent="0" defTabSz="914400" eaLnBrk="1" fontAlgn="auto" latinLnBrk="0" hangingPunct="1">
            <a:lnSpc>
              <a:spcPct val="100000"/>
            </a:lnSpc>
            <a:spcBef>
              <a:spcPts val="0"/>
            </a:spcBef>
            <a:spcAft>
              <a:spcPts val="0"/>
            </a:spcAft>
            <a:buClrTx/>
            <a:buSzTx/>
            <a:buFontTx/>
            <a:buNone/>
            <a:tabLst/>
            <a:defRPr/>
          </a:pPr>
          <a:r>
            <a:rPr lang="en-CA" sz="1400" b="1" baseline="0"/>
            <a:t>Interpreting the results:</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The main objective of the model is to find the optimal set of projects which is selected based on the maximize the NPV of the portfolio. </a:t>
          </a:r>
          <a:r>
            <a:rPr lang="en-CA" sz="1100" b="0">
              <a:solidFill>
                <a:schemeClr val="dk1"/>
              </a:solidFill>
              <a:effectLst/>
              <a:latin typeface="+mn-lt"/>
              <a:ea typeface="+mn-ea"/>
              <a:cs typeface="+mn-cs"/>
            </a:rPr>
            <a:t>The model will</a:t>
          </a:r>
          <a:r>
            <a:rPr lang="en-CA" sz="1100" b="0" baseline="0">
              <a:solidFill>
                <a:schemeClr val="dk1"/>
              </a:solidFill>
              <a:effectLst/>
              <a:latin typeface="+mn-lt"/>
              <a:ea typeface="+mn-ea"/>
              <a:cs typeface="+mn-cs"/>
            </a:rPr>
            <a:t> provide user a table, it contains Total Amount of Investment, the amount of Risk involvedand Total NPV. The selected set of projects are highlighted in Yellow as well as green in the Accepted column. </a:t>
          </a:r>
          <a:endParaRPr lang="en-CA"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t>The model also computes the IRR, payback period (for initial investment) and discounted payback (for initial investment) period for each project. If there is an error in IRR, it will display 'No IRR'. In case where the cash flows are negative at the end of the life of the project, Payback period will display 'NP'.</a:t>
          </a:r>
          <a:endParaRPr lang="en-CA" sz="1100" b="1" baseline="0"/>
        </a:p>
        <a:p>
          <a:pPr marL="0" marR="0" lvl="0" indent="0" defTabSz="914400" eaLnBrk="1" fontAlgn="auto" latinLnBrk="0" hangingPunct="1">
            <a:lnSpc>
              <a:spcPct val="100000"/>
            </a:lnSpc>
            <a:spcBef>
              <a:spcPts val="0"/>
            </a:spcBef>
            <a:spcAft>
              <a:spcPts val="0"/>
            </a:spcAft>
            <a:buClrTx/>
            <a:buSzTx/>
            <a:buFontTx/>
            <a:buNone/>
            <a:tabLst/>
            <a:defRPr/>
          </a:pPr>
          <a:endParaRPr lang="en-CA" sz="1100" b="1" baseline="0"/>
        </a:p>
        <a:p>
          <a:r>
            <a:rPr lang="en-CA" sz="1400" b="1" baseline="0"/>
            <a:t>Technical Details:</a:t>
          </a:r>
        </a:p>
        <a:p>
          <a:r>
            <a:rPr lang="en-CA" sz="1100" b="0" baseline="0"/>
            <a:t>Net Present Value is the present value of the cash flows at the required rate of return. Predicted cash flows are discounted using discount rate (r) based on CAPM model.</a:t>
          </a:r>
        </a:p>
        <a:p>
          <a:pPr algn="l"/>
          <a:endParaRPr lang="en-CA" sz="1100" b="0" baseline="0"/>
        </a:p>
        <a:p>
          <a:pPr algn="l"/>
          <a:r>
            <a:rPr lang="en-CA" sz="1100" b="0" baseline="0"/>
            <a:t>                                                  r = Risk free rate + beta(market risk premium)</a:t>
          </a:r>
        </a:p>
        <a:p>
          <a:pPr algn="l"/>
          <a:r>
            <a:rPr lang="en-CA" sz="1100" b="0" baseline="0"/>
            <a:t>	                     NPV = PV of cash inflow - PV of vash outflow</a:t>
          </a:r>
        </a:p>
        <a:p>
          <a:endParaRPr lang="en-CA" sz="1100" b="0" baseline="0"/>
        </a:p>
        <a:p>
          <a:r>
            <a:rPr lang="en-CA" sz="1100" b="0" baseline="0"/>
            <a:t>Internal Rate of return is the rate at which the NPV is 0. The higher the IRR, the better is the project. </a:t>
          </a:r>
        </a:p>
        <a:p>
          <a:endParaRPr lang="en-CA" sz="1100" b="0" baseline="0"/>
        </a:p>
        <a:p>
          <a:r>
            <a:rPr lang="en-CA" sz="1100" b="0" baseline="0"/>
            <a:t>Payback period is the time required to recover the funds expended in an investment. Similarly dicounted payback period is calculated  using discounted cash flows. </a:t>
          </a:r>
        </a:p>
        <a:p>
          <a:endParaRPr lang="en-CA" sz="1100" b="0" baseline="0"/>
        </a:p>
        <a:p>
          <a:r>
            <a:rPr lang="en-CA" sz="1100" b="0" baseline="0"/>
            <a:t>Mutually exclusive projects are those projects for which at most only 1 project can be selected from among them. The model provides the user the option to select the projects which are mutually exclusive. </a:t>
          </a:r>
        </a:p>
        <a:p>
          <a:endParaRPr lang="en-CA" sz="1100" b="0" baseline="0"/>
        </a:p>
        <a:p>
          <a:r>
            <a:rPr lang="en-CA" sz="1100" b="0" baseline="0"/>
            <a:t>Depending on the capital and beta constraints, the optimal set of portfolio may include projects having negative NPV. However, the portfolio provides user the option to exclude any projects having negative NPV.</a:t>
          </a:r>
        </a:p>
        <a:p>
          <a:endParaRPr lang="en-CA" sz="1100" b="0" baseline="0"/>
        </a:p>
        <a:p>
          <a:r>
            <a:rPr lang="en-CA" sz="1100" b="0" baseline="0"/>
            <a:t>Data validation and checks are performed on all user inputs. </a:t>
          </a:r>
        </a:p>
        <a:p>
          <a:r>
            <a:rPr lang="en-CA" sz="1100" b="0" baseline="0"/>
            <a:t>Capital constraints: $50,000 to $500,000</a:t>
          </a:r>
        </a:p>
        <a:p>
          <a:r>
            <a:rPr lang="en-CA" sz="1100" b="0" baseline="0"/>
            <a:t>Portfolio Beta constraints: 0 to 2</a:t>
          </a:r>
        </a:p>
        <a:p>
          <a:r>
            <a:rPr lang="en-CA" sz="1100" b="0" baseline="0"/>
            <a:t>Risk-free rate: 0% to 10%</a:t>
          </a:r>
        </a:p>
        <a:p>
          <a:r>
            <a:rPr lang="en-CA" sz="1100" b="0" baseline="0"/>
            <a:t>Market Risk premium: 4% to 8%</a:t>
          </a:r>
        </a:p>
        <a:p>
          <a:r>
            <a:rPr lang="en-CA" sz="1100" b="0" baseline="0"/>
            <a:t>Project beta: 0 to 3</a:t>
          </a:r>
        </a:p>
        <a:p>
          <a:r>
            <a:rPr lang="en-CA" sz="1100" b="0" baseline="0"/>
            <a:t>Life of a project: 3 to 25 years</a:t>
          </a:r>
        </a:p>
        <a:p>
          <a:endParaRPr lang="en-CA" sz="1100" b="1" baseline="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292100</xdr:colOff>
          <xdr:row>4</xdr:row>
          <xdr:rowOff>12700</xdr:rowOff>
        </xdr:from>
        <xdr:to>
          <xdr:col>17</xdr:col>
          <xdr:colOff>342900</xdr:colOff>
          <xdr:row>5</xdr:row>
          <xdr:rowOff>190500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Find Optimal Set of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7</xdr:row>
          <xdr:rowOff>50800</xdr:rowOff>
        </xdr:from>
        <xdr:to>
          <xdr:col>17</xdr:col>
          <xdr:colOff>355600</xdr:colOff>
          <xdr:row>9</xdr:row>
          <xdr:rowOff>25400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Portfolio NPV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10</xdr:row>
          <xdr:rowOff>25400</xdr:rowOff>
        </xdr:from>
        <xdr:to>
          <xdr:col>17</xdr:col>
          <xdr:colOff>342900</xdr:colOff>
          <xdr:row>11</xdr:row>
          <xdr:rowOff>177800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User Guide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9525</xdr:colOff>
      <xdr:row>11</xdr:row>
      <xdr:rowOff>4762</xdr:rowOff>
    </xdr:from>
    <xdr:to>
      <xdr:col>10</xdr:col>
      <xdr:colOff>581025</xdr:colOff>
      <xdr:row>25</xdr:row>
      <xdr:rowOff>161926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7</xdr:col>
          <xdr:colOff>393700</xdr:colOff>
          <xdr:row>2</xdr:row>
          <xdr:rowOff>139700</xdr:rowOff>
        </xdr:from>
        <xdr:to>
          <xdr:col>10</xdr:col>
          <xdr:colOff>292100</xdr:colOff>
          <xdr:row>4</xdr:row>
          <xdr:rowOff>127000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5</xdr:row>
          <xdr:rowOff>50800</xdr:rowOff>
        </xdr:from>
        <xdr:to>
          <xdr:col>10</xdr:col>
          <xdr:colOff>279400</xdr:colOff>
          <xdr:row>7</xdr:row>
          <xdr:rowOff>38100</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400-00000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Project/ Portfolio</a:t>
              </a:r>
            </a:p>
            <a:p>
              <a:pPr algn="ctr" rtl="0">
                <a:defRPr sz="1000"/>
              </a:pPr>
              <a:endParaRPr lang="en-US" sz="1100" b="0" i="0" u="none" strike="noStrike" baseline="0">
                <a:solidFill>
                  <a:srgbClr val="000000"/>
                </a:solidFill>
                <a:latin typeface="Calibri" pitchFamily="2" charset="0"/>
                <a:cs typeface="Calibri" pitchFamily="2" charset="0"/>
              </a:endParaRPr>
            </a:p>
            <a:p>
              <a:pPr algn="ctr" rtl="0">
                <a:defRPr sz="1000"/>
              </a:pPr>
              <a:r>
                <a:rPr lang="en-US" sz="11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12</xdr:row>
          <xdr:rowOff>127000</xdr:rowOff>
        </xdr:from>
        <xdr:to>
          <xdr:col>4</xdr:col>
          <xdr:colOff>863600</xdr:colOff>
          <xdr:row>14</xdr:row>
          <xdr:rowOff>114300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15</xdr:row>
          <xdr:rowOff>63500</xdr:rowOff>
        </xdr:from>
        <xdr:to>
          <xdr:col>4</xdr:col>
          <xdr:colOff>863600</xdr:colOff>
          <xdr:row>17</xdr:row>
          <xdr:rowOff>38100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0500-000004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317500</xdr:colOff>
          <xdr:row>11</xdr:row>
          <xdr:rowOff>152400</xdr:rowOff>
        </xdr:from>
        <xdr:to>
          <xdr:col>4</xdr:col>
          <xdr:colOff>1054100</xdr:colOff>
          <xdr:row>13</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317500</xdr:colOff>
          <xdr:row>14</xdr:row>
          <xdr:rowOff>88900</xdr:rowOff>
        </xdr:from>
        <xdr:to>
          <xdr:col>4</xdr:col>
          <xdr:colOff>1054100</xdr:colOff>
          <xdr:row>16</xdr:row>
          <xdr:rowOff>76200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355600</xdr:colOff>
          <xdr:row>11</xdr:row>
          <xdr:rowOff>152400</xdr:rowOff>
        </xdr:from>
        <xdr:to>
          <xdr:col>4</xdr:col>
          <xdr:colOff>1066800</xdr:colOff>
          <xdr:row>13</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14</xdr:row>
          <xdr:rowOff>63500</xdr:rowOff>
        </xdr:from>
        <xdr:to>
          <xdr:col>4</xdr:col>
          <xdr:colOff>1066800</xdr:colOff>
          <xdr:row>16</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11</xdr:row>
          <xdr:rowOff>165100</xdr:rowOff>
        </xdr:from>
        <xdr:to>
          <xdr:col>4</xdr:col>
          <xdr:colOff>1041400</xdr:colOff>
          <xdr:row>13</xdr:row>
          <xdr:rowOff>165100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14</xdr:row>
          <xdr:rowOff>76200</xdr:rowOff>
        </xdr:from>
        <xdr:to>
          <xdr:col>4</xdr:col>
          <xdr:colOff>1041400</xdr:colOff>
          <xdr:row>16</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292100</xdr:colOff>
          <xdr:row>11</xdr:row>
          <xdr:rowOff>152400</xdr:rowOff>
        </xdr:from>
        <xdr:to>
          <xdr:col>4</xdr:col>
          <xdr:colOff>1028700</xdr:colOff>
          <xdr:row>13</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14</xdr:row>
          <xdr:rowOff>76200</xdr:rowOff>
        </xdr:from>
        <xdr:to>
          <xdr:col>4</xdr:col>
          <xdr:colOff>1028700</xdr:colOff>
          <xdr:row>16</xdr:row>
          <xdr:rowOff>63500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330200</xdr:colOff>
          <xdr:row>11</xdr:row>
          <xdr:rowOff>139700</xdr:rowOff>
        </xdr:from>
        <xdr:to>
          <xdr:col>4</xdr:col>
          <xdr:colOff>1066800</xdr:colOff>
          <xdr:row>13</xdr:row>
          <xdr:rowOff>139700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317500</xdr:colOff>
          <xdr:row>14</xdr:row>
          <xdr:rowOff>63500</xdr:rowOff>
        </xdr:from>
        <xdr:to>
          <xdr:col>4</xdr:col>
          <xdr:colOff>1054100</xdr:colOff>
          <xdr:row>16</xdr:row>
          <xdr:rowOff>50800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11</xdr:row>
          <xdr:rowOff>165100</xdr:rowOff>
        </xdr:from>
        <xdr:to>
          <xdr:col>4</xdr:col>
          <xdr:colOff>1028700</xdr:colOff>
          <xdr:row>13</xdr:row>
          <xdr:rowOff>165100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292100</xdr:colOff>
          <xdr:row>14</xdr:row>
          <xdr:rowOff>88900</xdr:rowOff>
        </xdr:from>
        <xdr:to>
          <xdr:col>4</xdr:col>
          <xdr:colOff>1028700</xdr:colOff>
          <xdr:row>16</xdr:row>
          <xdr:rowOff>76200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11</xdr:row>
          <xdr:rowOff>165100</xdr:rowOff>
        </xdr:from>
        <xdr:to>
          <xdr:col>4</xdr:col>
          <xdr:colOff>1016000</xdr:colOff>
          <xdr:row>13</xdr:row>
          <xdr:rowOff>177800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14</xdr:row>
          <xdr:rowOff>101600</xdr:rowOff>
        </xdr:from>
        <xdr:to>
          <xdr:col>4</xdr:col>
          <xdr:colOff>1016000</xdr:colOff>
          <xdr:row>16</xdr:row>
          <xdr:rowOff>76200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11</xdr:row>
          <xdr:rowOff>139700</xdr:rowOff>
        </xdr:from>
        <xdr:to>
          <xdr:col>4</xdr:col>
          <xdr:colOff>1028700</xdr:colOff>
          <xdr:row>13</xdr:row>
          <xdr:rowOff>152400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14</xdr:row>
          <xdr:rowOff>76200</xdr:rowOff>
        </xdr:from>
        <xdr:to>
          <xdr:col>4</xdr:col>
          <xdr:colOff>1041400</xdr:colOff>
          <xdr:row>16</xdr:row>
          <xdr:rowOff>63500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11</xdr:row>
          <xdr:rowOff>152400</xdr:rowOff>
        </xdr:from>
        <xdr:to>
          <xdr:col>4</xdr:col>
          <xdr:colOff>1028700</xdr:colOff>
          <xdr:row>13</xdr:row>
          <xdr:rowOff>139700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14</xdr:row>
          <xdr:rowOff>63500</xdr:rowOff>
        </xdr:from>
        <xdr:to>
          <xdr:col>4</xdr:col>
          <xdr:colOff>1016000</xdr:colOff>
          <xdr:row>16</xdr:row>
          <xdr:rowOff>50800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11</xdr:row>
          <xdr:rowOff>177800</xdr:rowOff>
        </xdr:from>
        <xdr:to>
          <xdr:col>4</xdr:col>
          <xdr:colOff>1041400</xdr:colOff>
          <xdr:row>13</xdr:row>
          <xdr:rowOff>177800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292100</xdr:colOff>
          <xdr:row>14</xdr:row>
          <xdr:rowOff>76200</xdr:rowOff>
        </xdr:from>
        <xdr:to>
          <xdr:col>4</xdr:col>
          <xdr:colOff>1028700</xdr:colOff>
          <xdr:row>16</xdr:row>
          <xdr:rowOff>63500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330200</xdr:colOff>
          <xdr:row>12</xdr:row>
          <xdr:rowOff>165100</xdr:rowOff>
        </xdr:from>
        <xdr:to>
          <xdr:col>4</xdr:col>
          <xdr:colOff>1066800</xdr:colOff>
          <xdr:row>14</xdr:row>
          <xdr:rowOff>177800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330200</xdr:colOff>
          <xdr:row>15</xdr:row>
          <xdr:rowOff>88900</xdr:rowOff>
        </xdr:from>
        <xdr:to>
          <xdr:col>4</xdr:col>
          <xdr:colOff>1066800</xdr:colOff>
          <xdr:row>17</xdr:row>
          <xdr:rowOff>76200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NPV Profile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ourses/Financial%20Modeling/P00-Group1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User Guide"/>
      <sheetName val="Model "/>
      <sheetName val="GetRecentDataFromYahoo"/>
    </sheetNames>
    <sheetDataSet>
      <sheetData sheetId="0" refreshError="1"/>
      <sheetData sheetId="1" refreshError="1"/>
      <sheetData sheetId="2" refreshError="1"/>
      <sheetData sheetId="3">
        <row r="13">
          <cell r="BL13" t="str">
            <v>address1</v>
          </cell>
          <cell r="CS13" t="str">
            <v>language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customProperty" Target="../customProperty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3.vml"/><Relationship Id="rId1" Type="http://schemas.openxmlformats.org/officeDocument/2006/relationships/drawing" Target="../drawings/drawing12.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4.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5.vml"/><Relationship Id="rId1" Type="http://schemas.openxmlformats.org/officeDocument/2006/relationships/drawing" Target="../drawings/drawing14.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6.vml"/><Relationship Id="rId1" Type="http://schemas.openxmlformats.org/officeDocument/2006/relationships/drawing" Target="../drawings/drawing15.xml"/><Relationship Id="rId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7E9A5-04BF-4C71-9AB3-628A0833AA99}">
  <sheetPr codeName="Sheet1"/>
  <dimension ref="A1:N7"/>
  <sheetViews>
    <sheetView showGridLines="0" tabSelected="1" zoomScaleNormal="100" workbookViewId="0">
      <selection sqref="A1:I1"/>
    </sheetView>
  </sheetViews>
  <sheetFormatPr baseColWidth="10" defaultColWidth="8.83203125" defaultRowHeight="15" x14ac:dyDescent="0.2"/>
  <sheetData>
    <row r="1" spans="1:14" ht="16" thickBot="1" x14ac:dyDescent="0.25">
      <c r="A1" s="85" t="s">
        <v>65</v>
      </c>
      <c r="B1" s="86"/>
      <c r="C1" s="86"/>
      <c r="D1" s="86"/>
      <c r="E1" s="86"/>
      <c r="F1" s="86"/>
      <c r="G1" s="86"/>
      <c r="H1" s="86"/>
      <c r="I1" s="87"/>
      <c r="J1" s="84"/>
      <c r="K1" s="84"/>
      <c r="L1" s="84"/>
      <c r="M1" s="84"/>
    </row>
    <row r="3" spans="1:14" ht="16" thickBot="1" x14ac:dyDescent="0.25"/>
    <row r="4" spans="1:14" ht="16" thickBot="1" x14ac:dyDescent="0.25">
      <c r="K4" s="88" t="s">
        <v>55</v>
      </c>
      <c r="L4" s="89"/>
      <c r="M4" s="89"/>
      <c r="N4" s="90"/>
    </row>
    <row r="5" spans="1:14" x14ac:dyDescent="0.2">
      <c r="K5" s="71"/>
      <c r="L5" s="40"/>
      <c r="M5" s="40"/>
      <c r="N5" s="72"/>
    </row>
    <row r="6" spans="1:14" x14ac:dyDescent="0.2">
      <c r="K6" s="71"/>
      <c r="L6" s="40"/>
      <c r="M6" s="40"/>
      <c r="N6" s="72"/>
    </row>
    <row r="7" spans="1:14" ht="16" thickBot="1" x14ac:dyDescent="0.25">
      <c r="K7" s="78"/>
      <c r="L7" s="76"/>
      <c r="M7" s="76"/>
      <c r="N7" s="77"/>
    </row>
  </sheetData>
  <mergeCells count="2">
    <mergeCell ref="A1:I1"/>
    <mergeCell ref="K4:N4"/>
  </mergeCells>
  <pageMargins left="0.7" right="0.7" top="0.75" bottom="0.75" header="0.3" footer="0.3"/>
  <pageSetup orientation="portrait" horizontalDpi="300" verticalDpi="300"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GoToSummary">
                <anchor moveWithCells="1" sizeWithCells="1">
                  <from>
                    <xdr:col>10</xdr:col>
                    <xdr:colOff>330200</xdr:colOff>
                    <xdr:row>4</xdr:row>
                    <xdr:rowOff>114300</xdr:rowOff>
                  </from>
                  <to>
                    <xdr:col>13</xdr:col>
                    <xdr:colOff>228600</xdr:colOff>
                    <xdr:row>6</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ECB24-B5BE-48AA-A5BC-7238A4294E9B}">
  <sheetPr codeName="Sheet2"/>
  <dimension ref="A1:AO29"/>
  <sheetViews>
    <sheetView showGridLines="0" zoomScaleNormal="100" workbookViewId="0">
      <selection sqref="A1:M1"/>
    </sheetView>
  </sheetViews>
  <sheetFormatPr baseColWidth="10" defaultColWidth="8.83203125" defaultRowHeight="15" x14ac:dyDescent="0.2"/>
  <cols>
    <col min="1" max="1" width="14.1640625" customWidth="1"/>
    <col min="2" max="2" width="12.6640625" customWidth="1"/>
    <col min="7" max="7" width="14.5" bestFit="1" customWidth="1"/>
    <col min="8" max="8" width="18.83203125" bestFit="1" customWidth="1"/>
    <col min="9" max="9" width="6" customWidth="1"/>
    <col min="10" max="10" width="10.6640625" customWidth="1"/>
    <col min="11" max="11" width="9.6640625" customWidth="1"/>
    <col min="12" max="12" width="12.6640625" customWidth="1"/>
    <col min="13" max="13" width="11.1640625" bestFit="1" customWidth="1"/>
    <col min="34" max="34" width="8.83203125" customWidth="1"/>
    <col min="35" max="35" width="4.5" customWidth="1"/>
    <col min="36" max="37" width="10.5" customWidth="1"/>
    <col min="39" max="39" width="10.5" customWidth="1"/>
    <col min="41" max="41" width="4.6640625" customWidth="1"/>
  </cols>
  <sheetData>
    <row r="1" spans="1:41" ht="22" thickBot="1" x14ac:dyDescent="0.3">
      <c r="A1" s="96" t="s">
        <v>66</v>
      </c>
      <c r="B1" s="96"/>
      <c r="C1" s="96"/>
      <c r="D1" s="96"/>
      <c r="E1" s="96"/>
      <c r="F1" s="96"/>
      <c r="G1" s="96"/>
      <c r="H1" s="96"/>
      <c r="I1" s="96"/>
      <c r="J1" s="96"/>
      <c r="K1" s="96"/>
      <c r="L1" s="96"/>
      <c r="M1" s="96"/>
      <c r="AI1" s="105" t="s">
        <v>57</v>
      </c>
      <c r="AJ1" s="106"/>
      <c r="AK1" s="106"/>
      <c r="AL1" s="106"/>
      <c r="AM1" s="106"/>
      <c r="AN1" s="106"/>
      <c r="AO1" s="107"/>
    </row>
    <row r="2" spans="1:41" ht="16" thickBot="1" x14ac:dyDescent="0.25">
      <c r="A2" s="3"/>
      <c r="B2" s="3"/>
      <c r="C2" s="3"/>
      <c r="AI2" s="71"/>
      <c r="AJ2" s="40"/>
      <c r="AK2" s="40"/>
      <c r="AL2" s="40"/>
      <c r="AM2" s="40"/>
      <c r="AN2" s="40"/>
      <c r="AO2" s="72"/>
    </row>
    <row r="3" spans="1:41" ht="16" thickBot="1" x14ac:dyDescent="0.25">
      <c r="A3" s="93" t="s">
        <v>0</v>
      </c>
      <c r="B3" s="94"/>
      <c r="C3" s="1">
        <v>0.04</v>
      </c>
      <c r="J3" s="98" t="s">
        <v>27</v>
      </c>
      <c r="K3" s="99"/>
      <c r="L3" s="100"/>
      <c r="M3" s="63">
        <f>COUNT(AJ15:AJ25)</f>
        <v>11</v>
      </c>
      <c r="O3" s="88" t="s">
        <v>55</v>
      </c>
      <c r="P3" s="89"/>
      <c r="Q3" s="89"/>
      <c r="R3" s="90"/>
      <c r="AI3" s="71"/>
      <c r="AJ3" s="95" t="s">
        <v>45</v>
      </c>
      <c r="AK3" s="95"/>
      <c r="AL3" s="49" t="s">
        <v>40</v>
      </c>
      <c r="AM3" s="40"/>
      <c r="AN3" s="40"/>
      <c r="AO3" s="72"/>
    </row>
    <row r="4" spans="1:41" x14ac:dyDescent="0.2">
      <c r="A4" s="93" t="s">
        <v>1</v>
      </c>
      <c r="B4" s="94"/>
      <c r="C4" s="2">
        <v>7.0000000000000007E-2</v>
      </c>
      <c r="J4" s="98" t="s">
        <v>28</v>
      </c>
      <c r="K4" s="99"/>
      <c r="L4" s="100"/>
      <c r="M4" s="63">
        <f>SUM(AJ15:AJ25)</f>
        <v>5</v>
      </c>
      <c r="O4" s="71"/>
      <c r="P4" s="40"/>
      <c r="Q4" s="40"/>
      <c r="R4" s="72"/>
      <c r="AI4" s="71"/>
      <c r="AJ4" s="95"/>
      <c r="AK4" s="95"/>
      <c r="AL4" s="49" t="s">
        <v>41</v>
      </c>
      <c r="AM4" s="40"/>
      <c r="AN4" s="40"/>
      <c r="AO4" s="72"/>
    </row>
    <row r="5" spans="1:41" x14ac:dyDescent="0.2">
      <c r="J5" s="108" t="s">
        <v>29</v>
      </c>
      <c r="K5" s="109"/>
      <c r="L5" s="110"/>
      <c r="M5" s="64">
        <f ca="1">SUMPRODUCT(AJ15:AJ25,B15:B25)</f>
        <v>245000</v>
      </c>
      <c r="O5" s="71"/>
      <c r="P5" s="40"/>
      <c r="Q5" s="40"/>
      <c r="R5" s="72"/>
      <c r="AI5" s="71"/>
      <c r="AJ5" s="40"/>
      <c r="AK5" s="40"/>
      <c r="AL5" s="40"/>
      <c r="AM5" s="40"/>
      <c r="AN5" s="40"/>
      <c r="AO5" s="72"/>
    </row>
    <row r="6" spans="1:41" x14ac:dyDescent="0.2">
      <c r="A6" s="97" t="s">
        <v>32</v>
      </c>
      <c r="B6" s="97"/>
      <c r="D6" s="97" t="s">
        <v>34</v>
      </c>
      <c r="E6" s="97"/>
      <c r="J6" s="98" t="s">
        <v>30</v>
      </c>
      <c r="K6" s="99"/>
      <c r="L6" s="100"/>
      <c r="M6" s="65">
        <f ca="1">ProjectPortfolio!P35</f>
        <v>1.0465424109446304</v>
      </c>
      <c r="O6" s="71"/>
      <c r="P6" s="40"/>
      <c r="Q6" s="40"/>
      <c r="R6" s="72"/>
      <c r="AI6" s="71"/>
      <c r="AJ6" s="95" t="s">
        <v>38</v>
      </c>
      <c r="AK6" s="95"/>
      <c r="AL6" s="48"/>
      <c r="AM6" s="40"/>
      <c r="AN6" s="40"/>
      <c r="AO6" s="72"/>
    </row>
    <row r="7" spans="1:41" x14ac:dyDescent="0.2">
      <c r="A7" s="34" t="s">
        <v>13</v>
      </c>
      <c r="B7" s="8">
        <v>50000</v>
      </c>
      <c r="D7" s="34" t="s">
        <v>13</v>
      </c>
      <c r="E7" s="47">
        <v>1</v>
      </c>
      <c r="J7" s="98" t="s">
        <v>31</v>
      </c>
      <c r="K7" s="99"/>
      <c r="L7" s="100"/>
      <c r="M7" s="66">
        <f ca="1">SUMPRODUCT(E15:E25,AJ15:AJ25)</f>
        <v>96024.319320035371</v>
      </c>
      <c r="O7" s="71"/>
      <c r="P7" s="40"/>
      <c r="Q7" s="40"/>
      <c r="R7" s="72"/>
      <c r="AI7" s="71"/>
      <c r="AJ7" s="95"/>
      <c r="AK7" s="95"/>
      <c r="AL7" s="49" t="s">
        <v>39</v>
      </c>
      <c r="AM7" s="40"/>
      <c r="AN7" s="40"/>
      <c r="AO7" s="72"/>
    </row>
    <row r="8" spans="1:41" ht="16" thickBot="1" x14ac:dyDescent="0.25">
      <c r="A8" s="34" t="s">
        <v>33</v>
      </c>
      <c r="B8" s="8">
        <v>250000</v>
      </c>
      <c r="D8" s="34" t="s">
        <v>33</v>
      </c>
      <c r="E8" s="47">
        <v>1.2</v>
      </c>
      <c r="J8" s="98" t="s">
        <v>50</v>
      </c>
      <c r="K8" s="99"/>
      <c r="L8" s="100"/>
      <c r="M8" s="67">
        <f ca="1">Portfolio!F8</f>
        <v>6</v>
      </c>
      <c r="O8" s="71"/>
      <c r="P8" s="40"/>
      <c r="Q8" s="40"/>
      <c r="R8" s="72"/>
      <c r="AI8" s="71"/>
      <c r="AJ8" s="40"/>
      <c r="AK8" s="40"/>
      <c r="AL8" s="40"/>
      <c r="AM8" s="40"/>
      <c r="AN8" s="40"/>
      <c r="AO8" s="72"/>
    </row>
    <row r="9" spans="1:41" ht="17.25" customHeight="1" thickTop="1" thickBot="1" x14ac:dyDescent="0.25">
      <c r="J9" s="98" t="s">
        <v>53</v>
      </c>
      <c r="K9" s="99"/>
      <c r="L9" s="100"/>
      <c r="M9" s="67">
        <f ca="1">Portfolio!F9</f>
        <v>7</v>
      </c>
      <c r="O9" s="71"/>
      <c r="P9" s="40"/>
      <c r="Q9" s="40"/>
      <c r="R9" s="72"/>
      <c r="AI9" s="71"/>
      <c r="AJ9" s="95" t="s">
        <v>42</v>
      </c>
      <c r="AK9" s="95"/>
      <c r="AL9" s="73">
        <f>SUMIF(J15:J25,"X",Binary_Decisions)</f>
        <v>1</v>
      </c>
      <c r="AM9" s="74" t="s">
        <v>44</v>
      </c>
      <c r="AN9" s="55">
        <v>1</v>
      </c>
      <c r="AO9" s="72"/>
    </row>
    <row r="10" spans="1:41" ht="17" thickTop="1" thickBot="1" x14ac:dyDescent="0.25">
      <c r="A10" s="93" t="s">
        <v>43</v>
      </c>
      <c r="B10" s="94"/>
      <c r="C10" s="51" t="s">
        <v>40</v>
      </c>
      <c r="O10" s="71"/>
      <c r="P10" s="40"/>
      <c r="Q10" s="40"/>
      <c r="R10" s="72"/>
      <c r="AI10" s="71"/>
      <c r="AJ10" s="40"/>
      <c r="AK10" s="40"/>
      <c r="AL10" s="40"/>
      <c r="AM10" s="40"/>
      <c r="AN10" s="40"/>
      <c r="AO10" s="72"/>
    </row>
    <row r="11" spans="1:41" ht="17" thickTop="1" thickBot="1" x14ac:dyDescent="0.25">
      <c r="O11" s="71"/>
      <c r="P11" s="40"/>
      <c r="Q11" s="40"/>
      <c r="R11" s="72"/>
      <c r="AI11" s="71"/>
      <c r="AJ11" s="95" t="s">
        <v>46</v>
      </c>
      <c r="AK11" s="95"/>
      <c r="AL11" s="73">
        <f ca="1">SUMIF(E15:E25,"&lt;0",Binary_Decisions)</f>
        <v>1</v>
      </c>
      <c r="AM11" s="75" t="s">
        <v>44</v>
      </c>
      <c r="AN11" s="49">
        <f ca="1">IF(C10=AL3,COUNTIF(E15:E25,"&lt;0"),0)</f>
        <v>4</v>
      </c>
      <c r="AO11" s="72"/>
    </row>
    <row r="12" spans="1:41" ht="16" thickTop="1" x14ac:dyDescent="0.2">
      <c r="O12" s="71"/>
      <c r="P12" s="40"/>
      <c r="Q12" s="40"/>
      <c r="R12" s="72"/>
      <c r="S12" s="40"/>
      <c r="AI12" s="71"/>
      <c r="AJ12" s="40"/>
      <c r="AK12" s="40"/>
      <c r="AL12" s="40"/>
      <c r="AM12" s="40"/>
      <c r="AN12" s="40"/>
      <c r="AO12" s="72"/>
    </row>
    <row r="13" spans="1:41" ht="15" customHeight="1" thickBot="1" x14ac:dyDescent="0.25">
      <c r="A13" s="91" t="s">
        <v>21</v>
      </c>
      <c r="B13" s="92"/>
      <c r="C13" s="92"/>
      <c r="D13" s="92"/>
      <c r="E13" s="92"/>
      <c r="F13" s="92"/>
      <c r="G13" s="92"/>
      <c r="H13" s="92"/>
      <c r="J13" s="113" t="s">
        <v>24</v>
      </c>
      <c r="L13" s="114" t="s">
        <v>25</v>
      </c>
      <c r="O13" s="78"/>
      <c r="P13" s="76"/>
      <c r="Q13" s="76"/>
      <c r="R13" s="77"/>
      <c r="AI13" s="71"/>
      <c r="AJ13" s="111" t="s">
        <v>26</v>
      </c>
      <c r="AK13" s="40"/>
      <c r="AL13" s="40"/>
      <c r="AM13" s="40"/>
      <c r="AN13" s="40"/>
      <c r="AO13" s="72"/>
    </row>
    <row r="14" spans="1:41" x14ac:dyDescent="0.2">
      <c r="A14" s="31" t="s">
        <v>15</v>
      </c>
      <c r="B14" s="29" t="s">
        <v>22</v>
      </c>
      <c r="C14" s="30" t="s">
        <v>7</v>
      </c>
      <c r="D14" s="29" t="s">
        <v>8</v>
      </c>
      <c r="E14" s="29" t="s">
        <v>17</v>
      </c>
      <c r="F14" s="28" t="s">
        <v>23</v>
      </c>
      <c r="G14" s="29" t="s">
        <v>48</v>
      </c>
      <c r="H14" s="29" t="s">
        <v>54</v>
      </c>
      <c r="J14" s="113"/>
      <c r="L14" s="114"/>
      <c r="AI14" s="71"/>
      <c r="AJ14" s="112"/>
      <c r="AK14" s="40"/>
      <c r="AL14" s="40"/>
      <c r="AM14" s="40"/>
      <c r="AN14" s="40"/>
      <c r="AO14" s="72"/>
    </row>
    <row r="15" spans="1:41" ht="15" customHeight="1" x14ac:dyDescent="0.2">
      <c r="A15" s="56" t="str" cm="1">
        <f t="array" aca="1" ref="A15" ca="1">HYPERLINK(_xlfn.CONCAT("#",CELL("address",ProjectA!A1)),MID(CELL("address",ProjectA!A1),20,(LEN(CELL("address",ProjectA!A1))-6-19)))</f>
        <v>ProjectA</v>
      </c>
      <c r="B15" s="10" cm="1">
        <f t="array" aca="1" ref="B15" ca="1">-INDIRECT(_xlfn.CONCAT("'",A15,"'","!$B$8"))</f>
        <v>10000</v>
      </c>
      <c r="C15" s="27" cm="1">
        <f t="array" aca="1" ref="C15" ca="1">INDIRECT(_xlfn.CONCAT("'",A15,"'","!$B$4"))</f>
        <v>6</v>
      </c>
      <c r="D15" s="15" cm="1">
        <f t="array" aca="1" ref="D15" ca="1">INDIRECT(_xlfn.CONCAT("'",A15,"'","!$B$5"))</f>
        <v>0.5</v>
      </c>
      <c r="E15" s="10" cm="1">
        <f t="array" aca="1" ref="E15" ca="1">INDIRECT(_xlfn.CONCAT("'",A15,"'","!$F$5"))</f>
        <v>12203.43010708797</v>
      </c>
      <c r="F15" s="9" cm="1">
        <f t="array" aca="1" ref="F15" ca="1">INDIRECT(_xlfn.CONCAT("'",A15,"'","!$F$7"))</f>
        <v>0.29808043800210049</v>
      </c>
      <c r="G15" s="59" cm="1">
        <f t="array" aca="1" ref="G15" ca="1">INDIRECT(_xlfn.CONCAT("'",A15,"'","!$F$8"))</f>
        <v>4</v>
      </c>
      <c r="H15" s="59" cm="1">
        <f t="array" aca="1" ref="H15" ca="1">INDIRECT(_xlfn.CONCAT("'",A15,"'","!$F$9"))</f>
        <v>5</v>
      </c>
      <c r="I15" s="61"/>
      <c r="J15" s="50"/>
      <c r="L15" s="27" t="str">
        <f>IF(AJ15=1,"Yes","No")</f>
        <v>Yes</v>
      </c>
      <c r="O15" s="101" t="s">
        <v>56</v>
      </c>
      <c r="P15" s="102"/>
      <c r="Q15" s="69"/>
      <c r="AI15" s="71"/>
      <c r="AJ15" s="27">
        <v>1</v>
      </c>
      <c r="AK15" s="40"/>
      <c r="AL15" s="40"/>
      <c r="AM15" s="40"/>
      <c r="AN15" s="40"/>
      <c r="AO15" s="72"/>
    </row>
    <row r="16" spans="1:41" x14ac:dyDescent="0.2">
      <c r="A16" s="26" t="str" cm="1">
        <f t="array" aca="1" ref="A16" ca="1">HYPERLINK(_xlfn.CONCAT("#",CELL("address",ProjectB!A1)),MID(CELL("address",ProjectB!A1),20,(LEN(CELL("address",ProjectB!A1))-6-19)))</f>
        <v>ProjectB</v>
      </c>
      <c r="B16" s="10" cm="1">
        <f t="array" aca="1" ref="B16" ca="1">-INDIRECT(_xlfn.CONCAT("'",A16,"'","!$B$8"))</f>
        <v>10000</v>
      </c>
      <c r="C16" s="27" cm="1">
        <f t="array" aca="1" ref="C16" ca="1">INDIRECT(_xlfn.CONCAT("'",A16,"'","!$B$4"))</f>
        <v>6</v>
      </c>
      <c r="D16" s="15" cm="1">
        <f t="array" aca="1" ref="D16" ca="1">INDIRECT(_xlfn.CONCAT("'",A16,"'","!$B$5"))</f>
        <v>0.8</v>
      </c>
      <c r="E16" s="10" cm="1">
        <f t="array" aca="1" ref="E16" ca="1">INDIRECT(_xlfn.CONCAT("'",A16,"'","!$F$5"))</f>
        <v>4415.2717293983951</v>
      </c>
      <c r="F16" s="9" cm="1">
        <f t="array" aca="1" ref="F16" ca="1">INDIRECT(_xlfn.CONCAT("'",A16,"'","!$F$7"))</f>
        <v>0.30590772933683308</v>
      </c>
      <c r="G16" s="59" cm="1">
        <f t="array" aca="1" ref="G16" ca="1">INDIRECT(_xlfn.CONCAT("'",A16,"'","!$F$8"))</f>
        <v>2</v>
      </c>
      <c r="H16" s="59" cm="1">
        <f t="array" aca="1" ref="H16" ca="1">INDIRECT(_xlfn.CONCAT("'",A16,"'","!$F$9"))</f>
        <v>3</v>
      </c>
      <c r="I16" s="61"/>
      <c r="J16" s="50" t="s">
        <v>39</v>
      </c>
      <c r="L16" s="27" t="str">
        <f t="shared" ref="L16:L25" si="0">IF(AJ16=1,"Yes","No")</f>
        <v>No</v>
      </c>
      <c r="O16" s="103"/>
      <c r="P16" s="104"/>
      <c r="Q16" s="70"/>
      <c r="AI16" s="71"/>
      <c r="AJ16" s="27">
        <v>0</v>
      </c>
      <c r="AK16" s="40"/>
      <c r="AL16" s="40"/>
      <c r="AM16" s="40"/>
      <c r="AN16" s="40"/>
      <c r="AO16" s="72"/>
    </row>
    <row r="17" spans="1:41" x14ac:dyDescent="0.2">
      <c r="A17" s="26" t="str" cm="1">
        <f t="array" aca="1" ref="A17" ca="1">HYPERLINK(_xlfn.CONCAT("#",CELL("address",ProjectC!A1)),MID(CELL("address",ProjectC!A1),20,(LEN(CELL("address",ProjectC!A1))-6-19)))</f>
        <v>ProjectC</v>
      </c>
      <c r="B17" s="10" cm="1">
        <f t="array" aca="1" ref="B17" ca="1">-INDIRECT(_xlfn.CONCAT("'",A17,"'","!$B$8"))</f>
        <v>30000</v>
      </c>
      <c r="C17" s="27" cm="1">
        <f t="array" aca="1" ref="C17" ca="1">INDIRECT(_xlfn.CONCAT("'",A17,"'","!$B$4"))</f>
        <v>10</v>
      </c>
      <c r="D17" s="15" cm="1">
        <f t="array" aca="1" ref="D17" ca="1">INDIRECT(_xlfn.CONCAT("'",A17,"'","!$B$5"))</f>
        <v>0.4</v>
      </c>
      <c r="E17" s="10" cm="1">
        <f t="array" aca="1" ref="E17" ca="1">INDIRECT(_xlfn.CONCAT("'",A17,"'","!$F$5"))</f>
        <v>2499.5044362277549</v>
      </c>
      <c r="F17" s="9" cm="1">
        <f t="array" aca="1" ref="F17" ca="1">INDIRECT(_xlfn.CONCAT("'",A17,"'","!$F$7"))</f>
        <v>8.3561415554842977E-2</v>
      </c>
      <c r="G17" s="59" cm="1">
        <f t="array" aca="1" ref="G17" ca="1">INDIRECT(_xlfn.CONCAT("'",A17,"'","!$F$8"))</f>
        <v>10</v>
      </c>
      <c r="H17" s="59" cm="1">
        <f t="array" aca="1" ref="H17" ca="1">INDIRECT(_xlfn.CONCAT("'",A17,"'","!$F$9"))</f>
        <v>10</v>
      </c>
      <c r="I17" s="61"/>
      <c r="J17" s="50"/>
      <c r="L17" s="27" t="str">
        <f t="shared" si="0"/>
        <v>No</v>
      </c>
      <c r="AI17" s="71"/>
      <c r="AJ17" s="27">
        <v>0</v>
      </c>
      <c r="AK17" s="40"/>
      <c r="AL17" s="40"/>
      <c r="AM17" s="40"/>
      <c r="AN17" s="40"/>
      <c r="AO17" s="72"/>
    </row>
    <row r="18" spans="1:41" x14ac:dyDescent="0.2">
      <c r="A18" s="26" t="str" cm="1">
        <f t="array" aca="1" ref="A18" ca="1">HYPERLINK(_xlfn.CONCAT("#",CELL("address",ProjectD!A1)),MID(CELL("address",ProjectD!A1),20,(LEN(CELL("address",ProjectD!A1))-6-19)))</f>
        <v>ProjectD</v>
      </c>
      <c r="B18" s="10" cm="1">
        <f t="array" aca="1" ref="B18" ca="1">-INDIRECT(_xlfn.CONCAT("'",A18,"'","!$B$8"))</f>
        <v>80000</v>
      </c>
      <c r="C18" s="27" cm="1">
        <f t="array" aca="1" ref="C18" ca="1">INDIRECT(_xlfn.CONCAT("'",A18,"'","!$B$4"))</f>
        <v>15</v>
      </c>
      <c r="D18" s="15" cm="1">
        <f t="array" aca="1" ref="D18" ca="1">INDIRECT(_xlfn.CONCAT("'",A18,"'","!$B$5"))</f>
        <v>0.8</v>
      </c>
      <c r="E18" s="10" cm="1">
        <f t="array" aca="1" ref="E18" ca="1">INDIRECT(_xlfn.CONCAT("'",A18,"'","!$F$5"))</f>
        <v>38066.792386503192</v>
      </c>
      <c r="F18" s="9" cm="1">
        <f t="array" aca="1" ref="F18" ca="1">INDIRECT(_xlfn.CONCAT("'",A18,"'","!$F$7"))</f>
        <v>0.17162780339005557</v>
      </c>
      <c r="G18" s="59" cm="1">
        <f t="array" aca="1" ref="G18" ca="1">INDIRECT(_xlfn.CONCAT("'",A18,"'","!$F$8"))</f>
        <v>4</v>
      </c>
      <c r="H18" s="59" cm="1">
        <f t="array" aca="1" ref="H18" ca="1">INDIRECT(_xlfn.CONCAT("'",A18,"'","!$F$9"))</f>
        <v>10</v>
      </c>
      <c r="I18" s="61"/>
      <c r="J18" s="50" t="s">
        <v>39</v>
      </c>
      <c r="L18" s="27" t="str">
        <f t="shared" si="0"/>
        <v>Yes</v>
      </c>
      <c r="AI18" s="71"/>
      <c r="AJ18" s="27">
        <v>1</v>
      </c>
      <c r="AK18" s="40"/>
      <c r="AL18" s="40"/>
      <c r="AM18" s="40"/>
      <c r="AN18" s="40"/>
      <c r="AO18" s="72"/>
    </row>
    <row r="19" spans="1:41" x14ac:dyDescent="0.2">
      <c r="A19" s="26" t="str" cm="1">
        <f t="array" aca="1" ref="A19" ca="1">HYPERLINK(_xlfn.CONCAT("#",CELL("address",ProjectE!A1)),MID(CELL("address",ProjectE!A1),20,(LEN(CELL("address",ProjectE!A1))-6-19)))</f>
        <v>ProjectE</v>
      </c>
      <c r="B19" s="10" cm="1">
        <f t="array" aca="1" ref="B19" ca="1">-INDIRECT(_xlfn.CONCAT("'",A19,"'","!$B$8"))</f>
        <v>30000</v>
      </c>
      <c r="C19" s="27" cm="1">
        <f t="array" aca="1" ref="C19" ca="1">INDIRECT(_xlfn.CONCAT("'",A19,"'","!$B$4"))</f>
        <v>12</v>
      </c>
      <c r="D19" s="15" cm="1">
        <f t="array" aca="1" ref="D19" ca="1">INDIRECT(_xlfn.CONCAT("'",A19,"'","!$B$5"))</f>
        <v>1.1000000000000001</v>
      </c>
      <c r="E19" s="10" cm="1">
        <f t="array" aca="1" ref="E19" ca="1">INDIRECT(_xlfn.CONCAT("'",A19,"'","!$F$5"))</f>
        <v>-13805.3796124951</v>
      </c>
      <c r="F19" s="9" cm="1">
        <f t="array" aca="1" ref="F19" ca="1">INDIRECT(_xlfn.CONCAT("'",A19,"'","!$F$7"))</f>
        <v>-5.6999004457590763E-3</v>
      </c>
      <c r="G19" s="59" t="str" cm="1">
        <f t="array" aca="1" ref="G19" ca="1">INDIRECT(_xlfn.CONCAT("'",A19,"'","!$F$8"))</f>
        <v>NP</v>
      </c>
      <c r="H19" s="59" t="str" cm="1">
        <f t="array" aca="1" ref="H19" ca="1">INDIRECT(_xlfn.CONCAT("'",A19,"'","!$F$9"))</f>
        <v>NP</v>
      </c>
      <c r="I19" s="61"/>
      <c r="J19" s="50"/>
      <c r="L19" s="27" t="str">
        <f t="shared" si="0"/>
        <v>No</v>
      </c>
      <c r="AI19" s="71"/>
      <c r="AJ19" s="27">
        <v>0</v>
      </c>
      <c r="AK19" s="40"/>
      <c r="AL19" s="101" t="s">
        <v>64</v>
      </c>
      <c r="AM19" s="102"/>
      <c r="AN19" s="83"/>
      <c r="AO19" s="72"/>
    </row>
    <row r="20" spans="1:41" x14ac:dyDescent="0.2">
      <c r="A20" s="26" t="str" cm="1">
        <f t="array" aca="1" ref="A20" ca="1">HYPERLINK(_xlfn.CONCAT("#",CELL("address",ProjectF!A1)),MID(CELL("address",ProjectF!A1),20,(LEN(CELL("address",ProjectF!A1))-6-19)))</f>
        <v>ProjectF</v>
      </c>
      <c r="B20" s="10" cm="1">
        <f t="array" aca="1" ref="B20" ca="1">-INDIRECT(_xlfn.CONCAT("'",A20,"'","!$B$8"))</f>
        <v>9500</v>
      </c>
      <c r="C20" s="27" cm="1">
        <f t="array" aca="1" ref="C20" ca="1">INDIRECT(_xlfn.CONCAT("'",A20,"'","!$B$4"))</f>
        <v>7</v>
      </c>
      <c r="D20" s="15" cm="1">
        <f t="array" aca="1" ref="D20" ca="1">INDIRECT(_xlfn.CONCAT("'",A20,"'","!$B$5"))</f>
        <v>2.1</v>
      </c>
      <c r="E20" s="10" cm="1">
        <f t="array" aca="1" ref="E20" ca="1">INDIRECT(_xlfn.CONCAT("'",A20,"'","!$F$5"))</f>
        <v>-418.30112344504778</v>
      </c>
      <c r="F20" s="9" cm="1">
        <f t="array" aca="1" ref="F20" ca="1">INDIRECT(_xlfn.CONCAT("'",A20,"'","!$F$7"))</f>
        <v>3.1691685797590408E-2</v>
      </c>
      <c r="G20" s="59" cm="1">
        <f t="array" aca="1" ref="G20" ca="1">INDIRECT(_xlfn.CONCAT("'",A20,"'","!$F$8"))</f>
        <v>1</v>
      </c>
      <c r="H20" s="59" cm="1">
        <f t="array" aca="1" ref="H20" ca="1">INDIRECT(_xlfn.CONCAT("'",A20,"'","!$F$9"))</f>
        <v>1</v>
      </c>
      <c r="I20" s="61"/>
      <c r="J20" s="50" t="s">
        <v>39</v>
      </c>
      <c r="L20" s="27" t="str">
        <f t="shared" si="0"/>
        <v>No</v>
      </c>
      <c r="AI20" s="71"/>
      <c r="AJ20" s="27">
        <v>0</v>
      </c>
      <c r="AK20" s="40"/>
      <c r="AL20" s="103"/>
      <c r="AM20" s="104"/>
      <c r="AN20" s="70"/>
      <c r="AO20" s="72"/>
    </row>
    <row r="21" spans="1:41" x14ac:dyDescent="0.2">
      <c r="A21" s="26" t="str" cm="1">
        <f t="array" aca="1" ref="A21" ca="1">HYPERLINK(_xlfn.CONCAT("#",CELL("address",ProjectG!A1)),MID(CELL("address",ProjectG!A1),20,(LEN(CELL("address",ProjectG!A1))-6-19)))</f>
        <v>ProjectG</v>
      </c>
      <c r="B21" s="10" cm="1">
        <f t="array" aca="1" ref="B21" ca="1">-INDIRECT(_xlfn.CONCAT("'",A21,"'","!$B$8"))</f>
        <v>40000</v>
      </c>
      <c r="C21" s="27" cm="1">
        <f t="array" aca="1" ref="C21" ca="1">INDIRECT(_xlfn.CONCAT("'",A21,"'","!$B$4"))</f>
        <v>12</v>
      </c>
      <c r="D21" s="15" cm="1">
        <f t="array" aca="1" ref="D21" ca="1">INDIRECT(_xlfn.CONCAT("'",A21,"'","!$B$5"))</f>
        <v>0.9</v>
      </c>
      <c r="E21" s="10" cm="1">
        <f t="array" aca="1" ref="E21" ca="1">INDIRECT(_xlfn.CONCAT("'",A21,"'","!$F$5"))</f>
        <v>-4029.0093362726257</v>
      </c>
      <c r="F21" s="9" cm="1">
        <f t="array" aca="1" ref="F21" ca="1">INDIRECT(_xlfn.CONCAT("'",A21,"'","!$F$7"))</f>
        <v>8.2725205275072211E-2</v>
      </c>
      <c r="G21" s="59" cm="1">
        <f t="array" aca="1" ref="G21" ca="1">INDIRECT(_xlfn.CONCAT("'",A21,"'","!$F$8"))</f>
        <v>8</v>
      </c>
      <c r="H21" s="59" t="str" cm="1">
        <f t="array" aca="1" ref="H21" ca="1">INDIRECT(_xlfn.CONCAT("'",A21,"'","!$F$9"))</f>
        <v>NP</v>
      </c>
      <c r="I21" s="61"/>
      <c r="J21" s="50"/>
      <c r="L21" s="27" t="str">
        <f t="shared" si="0"/>
        <v>No</v>
      </c>
      <c r="AI21" s="71"/>
      <c r="AJ21" s="27">
        <v>0</v>
      </c>
      <c r="AK21" s="40"/>
      <c r="AL21" s="40"/>
      <c r="AM21" s="40"/>
      <c r="AN21" s="40"/>
      <c r="AO21" s="72"/>
    </row>
    <row r="22" spans="1:41" x14ac:dyDescent="0.2">
      <c r="A22" s="26" t="str" cm="1">
        <f t="array" aca="1" ref="A22" ca="1">HYPERLINK(_xlfn.CONCAT("#",CELL("address",ProjectH!A1)),MID(CELL("address",ProjectH!A1),20,(LEN(CELL("address",ProjectH!A1))-6-19)))</f>
        <v>ProjectH</v>
      </c>
      <c r="B22" s="10" cm="1">
        <f t="array" aca="1" ref="B22" ca="1">-INDIRECT(_xlfn.CONCAT("'",A22,"'","!$B$8"))</f>
        <v>65000</v>
      </c>
      <c r="C22" s="27" cm="1">
        <f t="array" aca="1" ref="C22" ca="1">INDIRECT(_xlfn.CONCAT("'",A22,"'","!$B$4"))</f>
        <v>13</v>
      </c>
      <c r="D22" s="15" cm="1">
        <f t="array" aca="1" ref="D22" ca="1">INDIRECT(_xlfn.CONCAT("'",A22,"'","!$B$5"))</f>
        <v>0.1</v>
      </c>
      <c r="E22" s="10" cm="1">
        <f t="array" aca="1" ref="E22" ca="1">INDIRECT(_xlfn.CONCAT("'",A22,"'","!$F$5"))</f>
        <v>78483.410638966772</v>
      </c>
      <c r="F22" s="9" cm="1">
        <f t="array" aca="1" ref="F22" ca="1">INDIRECT(_xlfn.CONCAT("'",A22,"'","!$F$7"))</f>
        <v>0.21177113562717276</v>
      </c>
      <c r="G22" s="59" cm="1">
        <f t="array" aca="1" ref="G22" ca="1">INDIRECT(_xlfn.CONCAT("'",A22,"'","!$F$8"))</f>
        <v>5</v>
      </c>
      <c r="H22" s="59" cm="1">
        <f t="array" aca="1" ref="H22" ca="1">INDIRECT(_xlfn.CONCAT("'",A22,"'","!$F$9"))</f>
        <v>5</v>
      </c>
      <c r="I22" s="61"/>
      <c r="J22" s="50"/>
      <c r="L22" s="27" t="str">
        <f t="shared" si="0"/>
        <v>No</v>
      </c>
      <c r="AI22" s="71"/>
      <c r="AJ22" s="27">
        <v>0</v>
      </c>
      <c r="AK22" s="40"/>
      <c r="AL22" s="40"/>
      <c r="AM22" s="40"/>
      <c r="AN22" s="40"/>
      <c r="AO22" s="72"/>
    </row>
    <row r="23" spans="1:41" x14ac:dyDescent="0.2">
      <c r="A23" s="26" t="str" cm="1">
        <f t="array" aca="1" ref="A23" ca="1">HYPERLINK(_xlfn.CONCAT("#",CELL("address",ProjectI!A1)),MID(CELL("address",ProjectI!A1),20,(LEN(CELL("address",ProjectI!A1))-6-19)))</f>
        <v>ProjectI</v>
      </c>
      <c r="B23" s="10" cm="1">
        <f t="array" aca="1" ref="B23" ca="1">-INDIRECT(_xlfn.CONCAT("'",A23,"'","!$B$8"))</f>
        <v>70000</v>
      </c>
      <c r="C23" s="27" cm="1">
        <f t="array" aca="1" ref="C23" ca="1">INDIRECT(_xlfn.CONCAT("'",A23,"'","!$B$4"))</f>
        <v>15</v>
      </c>
      <c r="D23" s="15" cm="1">
        <f t="array" aca="1" ref="D23" ca="1">INDIRECT(_xlfn.CONCAT("'",A23,"'","!$B$5"))</f>
        <v>1.7</v>
      </c>
      <c r="E23" s="10" cm="1">
        <f t="array" aca="1" ref="E23" ca="1">INDIRECT(_xlfn.CONCAT("'",A23,"'","!$F$5"))</f>
        <v>-1740.9457646437513</v>
      </c>
      <c r="F23" s="9" cm="1">
        <f t="array" aca="1" ref="F23" ca="1">INDIRECT(_xlfn.CONCAT("'",A23,"'","!$F$7"))</f>
        <v>0.15442677406216032</v>
      </c>
      <c r="G23" s="59" cm="1">
        <f t="array" aca="1" ref="G23" ca="1">INDIRECT(_xlfn.CONCAT("'",A23,"'","!$F$8"))</f>
        <v>6</v>
      </c>
      <c r="H23" s="59" t="str" cm="1">
        <f t="array" aca="1" ref="H23" ca="1">INDIRECT(_xlfn.CONCAT("'",A23,"'","!$F$9"))</f>
        <v>NP</v>
      </c>
      <c r="I23" s="61"/>
      <c r="J23" s="50"/>
      <c r="L23" s="27" t="str">
        <f t="shared" si="0"/>
        <v>Yes</v>
      </c>
      <c r="AI23" s="71"/>
      <c r="AJ23" s="27">
        <v>1</v>
      </c>
      <c r="AK23" s="40"/>
      <c r="AL23" s="40"/>
      <c r="AM23" s="40"/>
      <c r="AN23" s="40"/>
      <c r="AO23" s="72"/>
    </row>
    <row r="24" spans="1:41" x14ac:dyDescent="0.2">
      <c r="A24" s="26" t="str" cm="1">
        <f t="array" aca="1" ref="A24" ca="1">HYPERLINK(_xlfn.CONCAT("#",CELL("address",ProjectJ!A1)),MID(CELL("address",ProjectJ!A1),20,(LEN(CELL("address",ProjectJ!A1))-6-19)))</f>
        <v>ProjectJ</v>
      </c>
      <c r="B24" s="10" cm="1">
        <f t="array" aca="1" ref="B24" ca="1">-INDIRECT(_xlfn.CONCAT("'",A24,"'","!$B$8"))</f>
        <v>30000</v>
      </c>
      <c r="C24" s="27" cm="1">
        <f t="array" aca="1" ref="C24" ca="1">INDIRECT(_xlfn.CONCAT("'",A24,"'","!$B$4"))</f>
        <v>14</v>
      </c>
      <c r="D24" s="15" cm="1">
        <f t="array" aca="1" ref="D24" ca="1">INDIRECT(_xlfn.CONCAT("'",A24,"'","!$B$5"))</f>
        <v>1.5</v>
      </c>
      <c r="E24" s="10" cm="1">
        <f t="array" aca="1" ref="E24" ca="1">INDIRECT(_xlfn.CONCAT("'",A24,"'","!$F$5"))</f>
        <v>25105.229067924061</v>
      </c>
      <c r="F24" s="9" cm="1">
        <f t="array" aca="1" ref="F24" ca="1">INDIRECT(_xlfn.CONCAT("'",A24,"'","!$F$7"))</f>
        <v>0.30717650090435833</v>
      </c>
      <c r="G24" s="59" cm="1">
        <f t="array" aca="1" ref="G24" ca="1">INDIRECT(_xlfn.CONCAT("'",A24,"'","!$F$8"))</f>
        <v>4</v>
      </c>
      <c r="H24" s="59" cm="1">
        <f t="array" aca="1" ref="H24" ca="1">INDIRECT(_xlfn.CONCAT("'",A24,"'","!$F$9"))</f>
        <v>4</v>
      </c>
      <c r="I24" s="61"/>
      <c r="J24" s="50"/>
      <c r="L24" s="27" t="str">
        <f t="shared" si="0"/>
        <v>Yes</v>
      </c>
      <c r="AI24" s="71"/>
      <c r="AJ24" s="27">
        <v>1</v>
      </c>
      <c r="AK24" s="40"/>
      <c r="AL24" s="40"/>
      <c r="AM24" s="40"/>
      <c r="AN24" s="40"/>
      <c r="AO24" s="72"/>
    </row>
    <row r="25" spans="1:41" x14ac:dyDescent="0.2">
      <c r="A25" s="26" t="str" cm="1">
        <f t="array" aca="1" ref="A25" ca="1">HYPERLINK(_xlfn.CONCAT("#",CELL("address",ProjectK!A1)),MID(CELL("address",ProjectK!A1),20,(LEN(CELL("address",ProjectK!A1))-6-19)))</f>
        <v>ProjectK</v>
      </c>
      <c r="B25" s="10" cm="1">
        <f t="array" aca="1" ref="B25" ca="1">-INDIRECT(_xlfn.CONCAT("'",A25,"'","!$B$8"))</f>
        <v>55000</v>
      </c>
      <c r="C25" s="27" cm="1">
        <f t="array" aca="1" ref="C25" ca="1">INDIRECT(_xlfn.CONCAT("'",A25,"'","!$B$4"))</f>
        <v>20</v>
      </c>
      <c r="D25" s="15" cm="1">
        <f t="array" aca="1" ref="D25" ca="1">INDIRECT(_xlfn.CONCAT("'",A25,"'","!$B$5"))</f>
        <v>0.6</v>
      </c>
      <c r="E25" s="10" cm="1">
        <f t="array" aca="1" ref="E25" ca="1">INDIRECT(_xlfn.CONCAT("'",A25,"'","!$F$5"))</f>
        <v>22389.813523163903</v>
      </c>
      <c r="F25" s="9" cm="1">
        <f t="array" aca="1" ref="F25" ca="1">INDIRECT(_xlfn.CONCAT("'",A25,"'","!$F$7"))</f>
        <v>0.13361222246151949</v>
      </c>
      <c r="G25" s="59" cm="1">
        <f t="array" aca="1" ref="G25" ca="1">INDIRECT(_xlfn.CONCAT("'",A25,"'","!$F$8"))</f>
        <v>7</v>
      </c>
      <c r="H25" s="59" cm="1">
        <f t="array" aca="1" ref="H25" ca="1">INDIRECT(_xlfn.CONCAT("'",A25,"'","!$F$9"))</f>
        <v>11</v>
      </c>
      <c r="I25" s="61"/>
      <c r="J25" s="50"/>
      <c r="L25" s="27" t="str">
        <f t="shared" si="0"/>
        <v>Yes</v>
      </c>
      <c r="AI25" s="71"/>
      <c r="AJ25" s="27">
        <v>1</v>
      </c>
      <c r="AK25" s="40"/>
      <c r="AL25" s="40"/>
      <c r="AM25" s="40"/>
      <c r="AN25" s="40"/>
      <c r="AO25" s="72"/>
    </row>
    <row r="26" spans="1:41" x14ac:dyDescent="0.2">
      <c r="A26" s="25" t="s">
        <v>35</v>
      </c>
      <c r="B26" s="25"/>
      <c r="C26" s="25"/>
      <c r="D26" s="25"/>
      <c r="E26" s="25"/>
      <c r="F26" s="25"/>
      <c r="G26" s="25"/>
      <c r="H26" s="25"/>
      <c r="I26" s="62"/>
      <c r="J26" s="25"/>
      <c r="L26" s="25"/>
      <c r="AI26" s="71"/>
      <c r="AJ26" s="32"/>
      <c r="AK26" s="40"/>
      <c r="AL26" s="40"/>
      <c r="AM26" s="40"/>
      <c r="AN26" s="40"/>
      <c r="AO26" s="72"/>
    </row>
    <row r="27" spans="1:41" ht="16" thickBot="1" x14ac:dyDescent="0.25">
      <c r="AI27" s="78"/>
      <c r="AJ27" s="76"/>
      <c r="AK27" s="76"/>
      <c r="AL27" s="76"/>
      <c r="AM27" s="76"/>
      <c r="AN27" s="76"/>
      <c r="AO27" s="77"/>
    </row>
    <row r="29" spans="1:41" ht="17.25" customHeight="1" x14ac:dyDescent="0.2"/>
  </sheetData>
  <mergeCells count="25">
    <mergeCell ref="AL19:AM20"/>
    <mergeCell ref="O15:P16"/>
    <mergeCell ref="AI1:AO1"/>
    <mergeCell ref="J8:L8"/>
    <mergeCell ref="J9:L9"/>
    <mergeCell ref="O3:R3"/>
    <mergeCell ref="J3:L3"/>
    <mergeCell ref="J4:L4"/>
    <mergeCell ref="J5:L5"/>
    <mergeCell ref="AJ13:AJ14"/>
    <mergeCell ref="AJ9:AK9"/>
    <mergeCell ref="J13:J14"/>
    <mergeCell ref="L13:L14"/>
    <mergeCell ref="A13:H13"/>
    <mergeCell ref="A10:B10"/>
    <mergeCell ref="AJ11:AK11"/>
    <mergeCell ref="AJ3:AK4"/>
    <mergeCell ref="A1:M1"/>
    <mergeCell ref="A3:B3"/>
    <mergeCell ref="A4:B4"/>
    <mergeCell ref="A6:B6"/>
    <mergeCell ref="D6:E6"/>
    <mergeCell ref="AJ6:AK7"/>
    <mergeCell ref="J6:L6"/>
    <mergeCell ref="J7:L7"/>
  </mergeCells>
  <conditionalFormatting sqref="B7:B8">
    <cfRule type="expression" dxfId="32" priority="6">
      <formula>$B$7&gt;$B$8</formula>
    </cfRule>
  </conditionalFormatting>
  <conditionalFormatting sqref="E7:E8">
    <cfRule type="expression" dxfId="31" priority="5">
      <formula>$E$7&gt;$E$8</formula>
    </cfRule>
  </conditionalFormatting>
  <conditionalFormatting sqref="E15:E25">
    <cfRule type="expression" dxfId="30" priority="4">
      <formula>E15&lt;0</formula>
    </cfRule>
  </conditionalFormatting>
  <conditionalFormatting sqref="L15:L25">
    <cfRule type="expression" dxfId="29" priority="3">
      <formula>L15="Yes"</formula>
    </cfRule>
  </conditionalFormatting>
  <conditionalFormatting sqref="A15:A25">
    <cfRule type="expression" dxfId="28" priority="2">
      <formula>AJ15=1</formula>
    </cfRule>
  </conditionalFormatting>
  <dataValidations count="7">
    <dataValidation type="custom" allowBlank="1" showInputMessage="1" showErrorMessage="1" errorTitle="Input error" error="Please enter Risk-free Rate between 0% and 10%" sqref="C3" xr:uid="{F309C800-6E6D-4A2D-9E18-78A8A5C50338}">
      <formula1>AND(C3&gt;0%, C3&lt;10%)</formula1>
    </dataValidation>
    <dataValidation type="custom" allowBlank="1" showInputMessage="1" showErrorMessage="1" errorTitle="Market Risk Premium Input Error" error="Please enter value between 4% and 8%" sqref="C4" xr:uid="{320A0CC0-DA8C-4E67-B97A-1ABE5FCDB6DB}">
      <formula1>AND(C4&gt;=4%, C4&lt;=8%)</formula1>
    </dataValidation>
    <dataValidation type="decimal" allowBlank="1" showInputMessage="1" showErrorMessage="1" errorTitle="Capital Constraint Error" error="Please input the capital between $50,000 and $500,000." sqref="B7" xr:uid="{955607D8-BD56-4918-826C-725F9EC0E0BD}">
      <formula1>50000</formula1>
      <formula2>500000</formula2>
    </dataValidation>
    <dataValidation type="decimal" allowBlank="1" showInputMessage="1" showErrorMessage="1" errorTitle="Capital Constraint Error" error="Please input capital between $50,000 and $500,000." sqref="B8" xr:uid="{0E746369-84D6-42C1-87B7-48324A52056C}">
      <formula1>50000</formula1>
      <formula2>500000</formula2>
    </dataValidation>
    <dataValidation type="decimal" allowBlank="1" showInputMessage="1" showErrorMessage="1" errorTitle="Beta Constraint Error" error="Please input Beta between 0.0 and 2.0" sqref="E7:E8" xr:uid="{140AA1DB-823A-47E3-AA75-C9A82BB64455}">
      <formula1>0</formula1>
      <formula2>2</formula2>
    </dataValidation>
    <dataValidation type="list" allowBlank="1" showInputMessage="1" showErrorMessage="1" sqref="J15:J25" xr:uid="{5E3D90EC-74EC-4E4F-A8E3-DF3EB9878F16}">
      <formula1>$AL$6:$AL$7</formula1>
    </dataValidation>
    <dataValidation type="list" allowBlank="1" showInputMessage="1" showErrorMessage="1" prompt="Yes: Projects with Negative NPV will may be selected_x000a_No: Projects with Negative NPV will not beselected" sqref="C10" xr:uid="{939BFC56-F342-4078-B2FD-932D9B637ED2}">
      <formula1>$AL$3:$AL$4</formula1>
    </dataValidation>
  </dataValidations>
  <hyperlinks>
    <hyperlink ref="A22" location="ProjectH!A1" display="ProjectH" xr:uid="{2B70A009-BA03-40FA-8A7E-7384680462AB}"/>
  </hyperlinks>
  <pageMargins left="0.7" right="0.7" top="0.75" bottom="0.75" header="0.3" footer="0.3"/>
  <pageSetup orientation="portrait" horizontalDpi="300" verticalDpi="300"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21" r:id="rId5" name="Button 1">
              <controlPr defaultSize="0" print="0" autoFill="0" autoPict="0" macro="[0]!RunSolver_WithMutauallyExclusive">
                <anchor moveWithCells="1" sizeWithCells="1">
                  <from>
                    <xdr:col>14</xdr:col>
                    <xdr:colOff>292100</xdr:colOff>
                    <xdr:row>4</xdr:row>
                    <xdr:rowOff>12700</xdr:rowOff>
                  </from>
                  <to>
                    <xdr:col>17</xdr:col>
                    <xdr:colOff>342900</xdr:colOff>
                    <xdr:row>5</xdr:row>
                    <xdr:rowOff>190500</xdr:rowOff>
                  </to>
                </anchor>
              </controlPr>
            </control>
          </mc:Choice>
        </mc:AlternateContent>
        <mc:AlternateContent xmlns:mc="http://schemas.openxmlformats.org/markup-compatibility/2006">
          <mc:Choice Requires="x14">
            <control shapeId="30722" r:id="rId6" name="Button 2">
              <controlPr defaultSize="0" print="0" autoFill="0" autoPict="0" macro="[0]!GoTo_PortfolioNPVProfile">
                <anchor moveWithCells="1" sizeWithCells="1">
                  <from>
                    <xdr:col>14</xdr:col>
                    <xdr:colOff>304800</xdr:colOff>
                    <xdr:row>7</xdr:row>
                    <xdr:rowOff>50800</xdr:rowOff>
                  </from>
                  <to>
                    <xdr:col>17</xdr:col>
                    <xdr:colOff>355600</xdr:colOff>
                    <xdr:row>9</xdr:row>
                    <xdr:rowOff>25400</xdr:rowOff>
                  </to>
                </anchor>
              </controlPr>
            </control>
          </mc:Choice>
        </mc:AlternateContent>
        <mc:AlternateContent xmlns:mc="http://schemas.openxmlformats.org/markup-compatibility/2006">
          <mc:Choice Requires="x14">
            <control shapeId="30723" r:id="rId7" name="Button 3">
              <controlPr defaultSize="0" print="0" autoFill="0" autoPict="0" macro="[0]!Goto_User_Guide">
                <anchor moveWithCells="1" sizeWithCells="1">
                  <from>
                    <xdr:col>14</xdr:col>
                    <xdr:colOff>292100</xdr:colOff>
                    <xdr:row>10</xdr:row>
                    <xdr:rowOff>25400</xdr:rowOff>
                  </from>
                  <to>
                    <xdr:col>17</xdr:col>
                    <xdr:colOff>342900</xdr:colOff>
                    <xdr:row>11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9C1B8-010C-48FA-8744-8737C39621DB}">
  <sheetPr codeName="Sheet15"/>
  <dimension ref="A1:P35"/>
  <sheetViews>
    <sheetView showGridLines="0" zoomScaleNormal="100" workbookViewId="0"/>
  </sheetViews>
  <sheetFormatPr baseColWidth="10" defaultColWidth="8.83203125" defaultRowHeight="15" x14ac:dyDescent="0.2"/>
  <cols>
    <col min="13" max="13" width="3.5" customWidth="1"/>
    <col min="14" max="14" width="9.33203125" bestFit="1" customWidth="1"/>
    <col min="16" max="16" width="9.83203125" bestFit="1" customWidth="1"/>
  </cols>
  <sheetData>
    <row r="1" spans="1:16" x14ac:dyDescent="0.2">
      <c r="A1" s="15"/>
      <c r="B1" s="36" t="str">
        <f ca="1">Summary!A15</f>
        <v>ProjectA</v>
      </c>
      <c r="C1" s="36" t="str">
        <f ca="1">Summary!A16</f>
        <v>ProjectB</v>
      </c>
      <c r="D1" s="36" t="str">
        <f ca="1">Summary!A17</f>
        <v>ProjectC</v>
      </c>
      <c r="E1" s="36" t="str">
        <f ca="1">Summary!A18</f>
        <v>ProjectD</v>
      </c>
      <c r="F1" s="36" t="str">
        <f ca="1">Summary!A19</f>
        <v>ProjectE</v>
      </c>
      <c r="G1" s="36" t="str">
        <f ca="1">Summary!A20</f>
        <v>ProjectF</v>
      </c>
      <c r="H1" s="36" t="str">
        <f ca="1">Summary!A21</f>
        <v>ProjectG</v>
      </c>
      <c r="I1" s="36" t="str">
        <f ca="1">Summary!A22</f>
        <v>ProjectH</v>
      </c>
      <c r="J1" s="36" t="str">
        <f ca="1">Summary!A23</f>
        <v>ProjectI</v>
      </c>
      <c r="K1" s="36" t="str">
        <f ca="1">Summary!A24</f>
        <v>ProjectJ</v>
      </c>
      <c r="L1" s="36" t="str">
        <f ca="1">Summary!A25</f>
        <v>ProjectK</v>
      </c>
      <c r="N1" s="43" t="s">
        <v>35</v>
      </c>
      <c r="P1" s="43" t="s">
        <v>36</v>
      </c>
    </row>
    <row r="2" spans="1:16" x14ac:dyDescent="0.2">
      <c r="A2" s="15" t="s">
        <v>26</v>
      </c>
      <c r="B2" s="36">
        <f>Summary!AJ15</f>
        <v>1</v>
      </c>
      <c r="C2" s="39">
        <f>Summary!AJ16</f>
        <v>0</v>
      </c>
      <c r="D2" s="39">
        <f>Summary!AJ17</f>
        <v>0</v>
      </c>
      <c r="E2" s="39">
        <f>Summary!AJ18</f>
        <v>1</v>
      </c>
      <c r="F2" s="39">
        <f>Summary!AJ19</f>
        <v>0</v>
      </c>
      <c r="G2" s="39">
        <f>Summary!AJ20</f>
        <v>0</v>
      </c>
      <c r="H2" s="39">
        <f>Summary!AJ221</f>
        <v>0</v>
      </c>
      <c r="I2" s="39">
        <f>Summary!AJ22</f>
        <v>0</v>
      </c>
      <c r="J2" s="39">
        <f>Summary!AJ23</f>
        <v>1</v>
      </c>
      <c r="K2" s="39">
        <f>Summary!AJ24</f>
        <v>1</v>
      </c>
      <c r="L2" s="39">
        <f>Summary!AJ25</f>
        <v>1</v>
      </c>
    </row>
    <row r="3" spans="1:16" x14ac:dyDescent="0.2">
      <c r="A3" s="15" t="s">
        <v>7</v>
      </c>
      <c r="B3" s="38" cm="1">
        <f t="array" aca="1" ref="B3" ca="1">IF(B2=0,"",INDIRECT(_xlfn.CONCAT(B1,"!B4")))</f>
        <v>6</v>
      </c>
      <c r="C3" s="38" t="str" cm="1">
        <f t="array" aca="1" ref="C3" ca="1">IF(C2=0,"",INDIRECT(_xlfn.CONCAT(C1,"!B4")))</f>
        <v/>
      </c>
      <c r="D3" s="38" t="str" cm="1">
        <f t="array" aca="1" ref="D3" ca="1">IF(D2=0,"",INDIRECT(_xlfn.CONCAT(D1,"!B4")))</f>
        <v/>
      </c>
      <c r="E3" s="38" cm="1">
        <f t="array" aca="1" ref="E3" ca="1">IF(E2=0,"",INDIRECT(_xlfn.CONCAT(E1,"!B4")))</f>
        <v>15</v>
      </c>
      <c r="F3" s="38" t="str" cm="1">
        <f t="array" aca="1" ref="F3" ca="1">IF(F2=0,"",INDIRECT(_xlfn.CONCAT(F1,"!B4")))</f>
        <v/>
      </c>
      <c r="G3" s="38" t="str" cm="1">
        <f t="array" aca="1" ref="G3" ca="1">IF(G2=0,"",INDIRECT(_xlfn.CONCAT(G1,"!B4")))</f>
        <v/>
      </c>
      <c r="H3" s="38" t="str" cm="1">
        <f t="array" aca="1" ref="H3" ca="1">IF(H2=0,"",INDIRECT(_xlfn.CONCAT(H1,"!B4")))</f>
        <v/>
      </c>
      <c r="I3" s="38" t="str" cm="1">
        <f t="array" aca="1" ref="I3" ca="1">IF(I2=0,"",INDIRECT(_xlfn.CONCAT(I1,"!B4")))</f>
        <v/>
      </c>
      <c r="J3" s="38" cm="1">
        <f t="array" aca="1" ref="J3" ca="1">IF(J2=0,"",INDIRECT(_xlfn.CONCAT(J1,"!B4")))</f>
        <v>15</v>
      </c>
      <c r="K3" s="38" cm="1">
        <f t="array" aca="1" ref="K3" ca="1">IF(K2=0,"",INDIRECT(_xlfn.CONCAT(K1,"!B4")))</f>
        <v>14</v>
      </c>
      <c r="L3" s="33" cm="1">
        <f t="array" aca="1" ref="L3" ca="1">IF(L2=0,"",INDIRECT(_xlfn.CONCAT(L1,"!B4")))</f>
        <v>20</v>
      </c>
      <c r="N3" s="33">
        <f ca="1">MAX(B3:L3)</f>
        <v>20</v>
      </c>
      <c r="P3" s="33">
        <f ca="1">MAX(B3:L3)</f>
        <v>20</v>
      </c>
    </row>
    <row r="4" spans="1:16" x14ac:dyDescent="0.2">
      <c r="A4" s="15" t="s">
        <v>8</v>
      </c>
      <c r="B4" s="38" cm="1">
        <f t="array" aca="1" ref="B4" ca="1">IF(B2=0,"",INDIRECT(_xlfn.CONCAT(B1,"!B5")))</f>
        <v>0.5</v>
      </c>
      <c r="C4" s="38" t="str" cm="1">
        <f t="array" aca="1" ref="C4" ca="1">IF(C2=0,"",INDIRECT(_xlfn.CONCAT(C1,"!B5")))</f>
        <v/>
      </c>
      <c r="D4" s="38" t="str" cm="1">
        <f t="array" aca="1" ref="D4" ca="1">IF(D2=0,"",INDIRECT(_xlfn.CONCAT(D1,"!B5")))</f>
        <v/>
      </c>
      <c r="E4" s="38" cm="1">
        <f t="array" aca="1" ref="E4" ca="1">IF(E2=0,"",INDIRECT(_xlfn.CONCAT(E1,"!B5")))</f>
        <v>0.8</v>
      </c>
      <c r="F4" s="38" t="str" cm="1">
        <f t="array" aca="1" ref="F4" ca="1">IF(F2=0,"",INDIRECT(_xlfn.CONCAT(F1,"!B5")))</f>
        <v/>
      </c>
      <c r="G4" s="38" t="str" cm="1">
        <f t="array" aca="1" ref="G4" ca="1">IF(G2=0,"",INDIRECT(_xlfn.CONCAT(G1,"!B5")))</f>
        <v/>
      </c>
      <c r="H4" s="38" t="str" cm="1">
        <f t="array" aca="1" ref="H4" ca="1">IF(H2=0,"",INDIRECT(_xlfn.CONCAT(H1,"!B5")))</f>
        <v/>
      </c>
      <c r="I4" s="38" t="str" cm="1">
        <f t="array" aca="1" ref="I4" ca="1">IF(I2=0,"",INDIRECT(_xlfn.CONCAT(I1,"!B5")))</f>
        <v/>
      </c>
      <c r="J4" s="38" cm="1">
        <f t="array" aca="1" ref="J4" ca="1">IF(J2=0,"",INDIRECT(_xlfn.CONCAT(J1,"!B5")))</f>
        <v>1.7</v>
      </c>
      <c r="K4" s="38" cm="1">
        <f t="array" aca="1" ref="K4" ca="1">IF(K2=0,"",INDIRECT(_xlfn.CONCAT(K1,"!B5")))</f>
        <v>1.5</v>
      </c>
      <c r="L4" s="33" cm="1">
        <f t="array" aca="1" ref="L4" ca="1">IF(L2=0,"",INDIRECT(_xlfn.CONCAT(L1,"!B5")))</f>
        <v>0.6</v>
      </c>
      <c r="N4" s="33"/>
      <c r="P4" s="33"/>
    </row>
    <row r="5" spans="1:16" x14ac:dyDescent="0.2">
      <c r="A5" s="37"/>
      <c r="B5" s="42"/>
      <c r="C5" s="40"/>
      <c r="D5" s="40"/>
      <c r="E5" s="40"/>
      <c r="F5" s="40"/>
      <c r="G5" s="40"/>
      <c r="H5" s="40"/>
      <c r="I5" s="40"/>
      <c r="J5" s="40"/>
      <c r="K5" s="40"/>
      <c r="L5" s="40"/>
    </row>
    <row r="6" spans="1:16" x14ac:dyDescent="0.2">
      <c r="A6" s="41">
        <v>0</v>
      </c>
      <c r="B6" s="35" cm="1">
        <f t="array" aca="1" ref="B6" ca="1">IF(B$2=0,"",IF($A6&gt;B$3,"",INDIRECT(_xlfn.CONCAT(B$1,"!B$8"))))</f>
        <v>-10000</v>
      </c>
      <c r="C6" s="35" t="str" cm="1">
        <f t="array" aca="1" ref="C6" ca="1">IF(C$2=0,"",IF($A6&gt;C$3,"",INDIRECT(_xlfn.CONCAT(C$1,"!B$8"))))</f>
        <v/>
      </c>
      <c r="D6" s="35" t="str" cm="1">
        <f t="array" aca="1" ref="D6" ca="1">IF(D$2=0,"",IF($A6&gt;D$3,"",INDIRECT(_xlfn.CONCAT(D$1,"!B$8"))))</f>
        <v/>
      </c>
      <c r="E6" s="35" cm="1">
        <f t="array" aca="1" ref="E6" ca="1">IF(E$2=0,"",IF($A6&gt;E$3,"",INDIRECT(_xlfn.CONCAT(E$1,"!B$8"))))</f>
        <v>-80000</v>
      </c>
      <c r="F6" s="35" t="str" cm="1">
        <f t="array" aca="1" ref="F6" ca="1">IF(F$2=0,"",IF($A6&gt;F$3,"",INDIRECT(_xlfn.CONCAT(F$1,"!B$8"))))</f>
        <v/>
      </c>
      <c r="G6" s="35" t="str" cm="1">
        <f t="array" aca="1" ref="G6" ca="1">IF(G$2=0,"",IF($A6&gt;G$3,"",INDIRECT(_xlfn.CONCAT(G$1,"!B$8"))))</f>
        <v/>
      </c>
      <c r="H6" s="35" t="str" cm="1">
        <f t="array" aca="1" ref="H6" ca="1">IF(H$2=0,"",IF($A6&gt;H$3,"",INDIRECT(_xlfn.CONCAT(H$1,"!B$8"))))</f>
        <v/>
      </c>
      <c r="I6" s="35" t="str" cm="1">
        <f t="array" aca="1" ref="I6" ca="1">IF(I$2=0,"",IF($A6&gt;I$3,"",INDIRECT(_xlfn.CONCAT(I$1,"!B$8"))))</f>
        <v/>
      </c>
      <c r="J6" s="35" cm="1">
        <f t="array" aca="1" ref="J6" ca="1">IF(J$2=0,"",IF($A6&gt;J$3,"",INDIRECT(_xlfn.CONCAT(J$1,"!B$8"))))</f>
        <v>-70000</v>
      </c>
      <c r="K6" s="35" cm="1">
        <f t="array" aca="1" ref="K6" ca="1">IF(K$2=0,"",IF($A6&gt;K$3,"",INDIRECT(_xlfn.CONCAT(K$1,"!B$8"))))</f>
        <v>-30000</v>
      </c>
      <c r="L6" s="35" cm="1">
        <f t="array" aca="1" ref="L6" ca="1">IF(L$2=0,"",IF($A6&gt;L$3,"",INDIRECT(_xlfn.CONCAT(L$1,"!B$8"))))</f>
        <v>-55000</v>
      </c>
      <c r="N6" s="35">
        <f ca="1">IF(A6&gt;$N$3,"",SUM(B6:L6))</f>
        <v>-245000</v>
      </c>
      <c r="P6" s="35">
        <f ca="1">N6-Summary!M7</f>
        <v>-341024.3193200354</v>
      </c>
    </row>
    <row r="7" spans="1:16" x14ac:dyDescent="0.2">
      <c r="A7" s="41">
        <v>1</v>
      </c>
      <c r="B7" s="35" cm="1">
        <f t="array" aca="1" ref="B7" ca="1">IF(B$2=0,"",IF($A7&gt;B$3,"",INDIRECT(_xlfn.CONCAT(B$1,"!B$9"))))</f>
        <v>2000</v>
      </c>
      <c r="C7" s="35" t="str" cm="1">
        <f t="array" aca="1" ref="C7" ca="1">IF(C$2=0,"",IF($A7&gt;C$3,"",INDIRECT(_xlfn.CONCAT(C$1,"!B$9"))))</f>
        <v/>
      </c>
      <c r="D7" s="35" t="str" cm="1">
        <f t="array" aca="1" ref="D7" ca="1">IF(D$2=0,"",IF($A7&gt;D$3,"",INDIRECT(_xlfn.CONCAT(D$1,"!B$9"))))</f>
        <v/>
      </c>
      <c r="E7" s="35" cm="1">
        <f t="array" aca="1" ref="E7" ca="1">IF(E$2=0,"",IF($A7&gt;E$3,"",INDIRECT(_xlfn.CONCAT(E$1,"!B$9"))))</f>
        <v>20000</v>
      </c>
      <c r="F7" s="35" t="str" cm="1">
        <f t="array" aca="1" ref="F7" ca="1">IF(F$2=0,"",IF($A7&gt;F$3,"",INDIRECT(_xlfn.CONCAT(F$1,"!B$9"))))</f>
        <v/>
      </c>
      <c r="G7" s="35" t="str" cm="1">
        <f t="array" aca="1" ref="G7" ca="1">IF(G$2=0,"",IF($A7&gt;G$3,"",INDIRECT(_xlfn.CONCAT(G$1,"!B$9"))))</f>
        <v/>
      </c>
      <c r="H7" s="35" t="str" cm="1">
        <f t="array" aca="1" ref="H7" ca="1">IF(H$2=0,"",IF($A7&gt;H$3,"",INDIRECT(_xlfn.CONCAT(H$1,"!B$9"))))</f>
        <v/>
      </c>
      <c r="I7" s="35" t="str" cm="1">
        <f t="array" aca="1" ref="I7" ca="1">IF(I$2=0,"",IF($A7&gt;I$3,"",INDIRECT(_xlfn.CONCAT(I$1,"!B$9"))))</f>
        <v/>
      </c>
      <c r="J7" s="35" cm="1">
        <f t="array" aca="1" ref="J7" ca="1">IF(J$2=0,"",IF($A7&gt;J$3,"",INDIRECT(_xlfn.CONCAT(J$1,"!B$9"))))</f>
        <v>5000</v>
      </c>
      <c r="K7" s="35" cm="1">
        <f t="array" aca="1" ref="K7" ca="1">IF(K$2=0,"",IF($A7&gt;K$3,"",INDIRECT(_xlfn.CONCAT(K$1,"!B$9"))))</f>
        <v>2000</v>
      </c>
      <c r="L7" s="35" cm="1">
        <f t="array" aca="1" ref="L7" ca="1">IF(L$2=0,"",IF($A7&gt;L$3,"",INDIRECT(_xlfn.CONCAT(L$1,"!B$9"))))</f>
        <v>8000</v>
      </c>
      <c r="N7" s="35">
        <f t="shared" ref="N7:N31" ca="1" si="0">IF(A7&gt;$N$3,"",SUM(B7:L7))</f>
        <v>37000</v>
      </c>
      <c r="P7" s="35">
        <f ca="1">N7</f>
        <v>37000</v>
      </c>
    </row>
    <row r="8" spans="1:16" x14ac:dyDescent="0.2">
      <c r="A8" s="41">
        <v>2</v>
      </c>
      <c r="B8" s="35" cm="1">
        <f t="array" aca="1" ref="B8" ca="1">IF(B$2=0,"",IF($A8&gt;B$3,"",INDIRECT(_xlfn.CONCAT(B$1,"!B$10"))))</f>
        <v>2000</v>
      </c>
      <c r="C8" s="35" t="str" cm="1">
        <f t="array" aca="1" ref="C8" ca="1">IF(C$2=0,"",IF($A8&gt;C$3,"",INDIRECT(_xlfn.CONCAT(C$1,"!B$10"))))</f>
        <v/>
      </c>
      <c r="D8" s="35" t="str" cm="1">
        <f t="array" aca="1" ref="D8" ca="1">IF(D$2=0,"",IF($A8&gt;D$3,"",INDIRECT(_xlfn.CONCAT(D$1,"!B$10"))))</f>
        <v/>
      </c>
      <c r="E8" s="35" cm="1">
        <f t="array" aca="1" ref="E8" ca="1">IF(E$2=0,"",IF($A8&gt;E$3,"",INDIRECT(_xlfn.CONCAT(E$1,"!B$10"))))</f>
        <v>20000</v>
      </c>
      <c r="F8" s="35" t="str" cm="1">
        <f t="array" aca="1" ref="F8" ca="1">IF(F$2=0,"",IF($A8&gt;F$3,"",INDIRECT(_xlfn.CONCAT(F$1,"!B$10"))))</f>
        <v/>
      </c>
      <c r="G8" s="35" t="str" cm="1">
        <f t="array" aca="1" ref="G8" ca="1">IF(G$2=0,"",IF($A8&gt;G$3,"",INDIRECT(_xlfn.CONCAT(G$1,"!B$10"))))</f>
        <v/>
      </c>
      <c r="H8" s="35" t="str" cm="1">
        <f t="array" aca="1" ref="H8" ca="1">IF(H$2=0,"",IF($A8&gt;H$3,"",INDIRECT(_xlfn.CONCAT(H$1,"!B$10"))))</f>
        <v/>
      </c>
      <c r="I8" s="35" t="str" cm="1">
        <f t="array" aca="1" ref="I8" ca="1">IF(I$2=0,"",IF($A8&gt;I$3,"",INDIRECT(_xlfn.CONCAT(I$1,"!B$10"))))</f>
        <v/>
      </c>
      <c r="J8" s="35" cm="1">
        <f t="array" aca="1" ref="J8" ca="1">IF(J$2=0,"",IF($A8&gt;J$3,"",INDIRECT(_xlfn.CONCAT(J$1,"!B$10"))))</f>
        <v>8000</v>
      </c>
      <c r="K8" s="35" cm="1">
        <f t="array" aca="1" ref="K8" ca="1">IF(K$2=0,"",IF($A8&gt;K$3,"",INDIRECT(_xlfn.CONCAT(K$1,"!B$10"))))</f>
        <v>3000</v>
      </c>
      <c r="L8" s="35" cm="1">
        <f t="array" aca="1" ref="L8" ca="1">IF(L$2=0,"",IF($A8&gt;L$3,"",INDIRECT(_xlfn.CONCAT(L$1,"!B$10"))))</f>
        <v>8000</v>
      </c>
      <c r="N8" s="35">
        <f t="shared" ca="1" si="0"/>
        <v>41000</v>
      </c>
      <c r="P8" s="35">
        <f t="shared" ref="P8:P31" ca="1" si="1">N8</f>
        <v>41000</v>
      </c>
    </row>
    <row r="9" spans="1:16" x14ac:dyDescent="0.2">
      <c r="A9" s="41">
        <v>3</v>
      </c>
      <c r="B9" s="35" cm="1">
        <f t="array" aca="1" ref="B9" ca="1">IF(B$2=0,"",IF($A9&gt;B$3,"",INDIRECT(_xlfn.CONCAT(B$1,"!B$11"))))</f>
        <v>3000</v>
      </c>
      <c r="C9" s="35" t="str" cm="1">
        <f t="array" aca="1" ref="C9" ca="1">IF(C$2=0,"",IF($A9&gt;C$3,"",INDIRECT(_xlfn.CONCAT(C$1,"!B$11"))))</f>
        <v/>
      </c>
      <c r="D9" s="35" t="str" cm="1">
        <f t="array" aca="1" ref="D9" ca="1">IF(D$2=0,"",IF($A9&gt;D$3,"",INDIRECT(_xlfn.CONCAT(D$1,"!B$11"))))</f>
        <v/>
      </c>
      <c r="E9" s="35" cm="1">
        <f t="array" aca="1" ref="E9" ca="1">IF(E$2=0,"",IF($A9&gt;E$3,"",INDIRECT(_xlfn.CONCAT(E$1,"!B$11"))))</f>
        <v>30000</v>
      </c>
      <c r="F9" s="35" t="str" cm="1">
        <f t="array" aca="1" ref="F9" ca="1">IF(F$2=0,"",IF($A9&gt;F$3,"",INDIRECT(_xlfn.CONCAT(F$1,"!B$11"))))</f>
        <v/>
      </c>
      <c r="G9" s="35" t="str" cm="1">
        <f t="array" aca="1" ref="G9" ca="1">IF(G$2=0,"",IF($A9&gt;G$3,"",INDIRECT(_xlfn.CONCAT(G$1,"!B$11"))))</f>
        <v/>
      </c>
      <c r="H9" s="35" t="str" cm="1">
        <f t="array" aca="1" ref="H9" ca="1">IF(H$2=0,"",IF($A9&gt;H$3,"",INDIRECT(_xlfn.CONCAT(H$1,"!B$11"))))</f>
        <v/>
      </c>
      <c r="I9" s="35" t="str" cm="1">
        <f t="array" aca="1" ref="I9" ca="1">IF(I$2=0,"",IF($A9&gt;I$3,"",INDIRECT(_xlfn.CONCAT(I$1,"!B$11"))))</f>
        <v/>
      </c>
      <c r="J9" s="35" cm="1">
        <f t="array" aca="1" ref="J9" ca="1">IF(J$2=0,"",IF($A9&gt;J$3,"",INDIRECT(_xlfn.CONCAT(J$1,"!B$11"))))</f>
        <v>12000</v>
      </c>
      <c r="K9" s="35" cm="1">
        <f t="array" aca="1" ref="K9" ca="1">IF(K$2=0,"",IF($A9&gt;K$3,"",INDIRECT(_xlfn.CONCAT(K$1,"!B$11"))))</f>
        <v>23000</v>
      </c>
      <c r="L9" s="35" cm="1">
        <f t="array" aca="1" ref="L9" ca="1">IF(L$2=0,"",IF($A9&gt;L$3,"",INDIRECT(_xlfn.CONCAT(L$1,"!B$11"))))</f>
        <v>8000</v>
      </c>
      <c r="N9" s="35">
        <f t="shared" ca="1" si="0"/>
        <v>76000</v>
      </c>
      <c r="P9" s="35">
        <f t="shared" ca="1" si="1"/>
        <v>76000</v>
      </c>
    </row>
    <row r="10" spans="1:16" x14ac:dyDescent="0.2">
      <c r="A10" s="41">
        <v>4</v>
      </c>
      <c r="B10" s="35" cm="1">
        <f t="array" aca="1" ref="B10" ca="1">IF(B$2=0,"",IF($A10&gt;B$3,"",INDIRECT(_xlfn.CONCAT(B$1,"!B$12"))))</f>
        <v>4000</v>
      </c>
      <c r="C10" s="35" t="str" cm="1">
        <f t="array" aca="1" ref="C10" ca="1">IF(C$2=0,"",IF($A10&gt;C$3,"",INDIRECT(_xlfn.CONCAT(C$1,"!B$12"))))</f>
        <v/>
      </c>
      <c r="D10" s="35" t="str" cm="1">
        <f t="array" aca="1" ref="D10" ca="1">IF(D$2=0,"",IF($A10&gt;D$3,"",INDIRECT(_xlfn.CONCAT(D$1,"!B$12"))))</f>
        <v/>
      </c>
      <c r="E10" s="35" cm="1">
        <f t="array" aca="1" ref="E10" ca="1">IF(E$2=0,"",IF($A10&gt;E$3,"",INDIRECT(_xlfn.CONCAT(E$1,"!B$12"))))</f>
        <v>20000</v>
      </c>
      <c r="F10" s="35" t="str" cm="1">
        <f t="array" aca="1" ref="F10" ca="1">IF(F$2=0,"",IF($A10&gt;F$3,"",INDIRECT(_xlfn.CONCAT(F$1,"!B$12"))))</f>
        <v/>
      </c>
      <c r="G10" s="35" t="str" cm="1">
        <f t="array" aca="1" ref="G10" ca="1">IF(G$2=0,"",IF($A10&gt;G$3,"",INDIRECT(_xlfn.CONCAT(G$1,"!B$12"))))</f>
        <v/>
      </c>
      <c r="H10" s="35" t="str" cm="1">
        <f t="array" aca="1" ref="H10" ca="1">IF(H$2=0,"",IF($A10&gt;H$3,"",INDIRECT(_xlfn.CONCAT(H$1,"!B$12"))))</f>
        <v/>
      </c>
      <c r="I10" s="35" t="str" cm="1">
        <f t="array" aca="1" ref="I10" ca="1">IF(I$2=0,"",IF($A10&gt;I$3,"",INDIRECT(_xlfn.CONCAT(I$1,"!B$12"))))</f>
        <v/>
      </c>
      <c r="J10" s="35" cm="1">
        <f t="array" aca="1" ref="J10" ca="1">IF(J$2=0,"",IF($A10&gt;J$3,"",INDIRECT(_xlfn.CONCAT(J$1,"!B$12"))))</f>
        <v>15000</v>
      </c>
      <c r="K10" s="35" cm="1">
        <f t="array" aca="1" ref="K10" ca="1">IF(K$2=0,"",IF($A10&gt;K$3,"",INDIRECT(_xlfn.CONCAT(K$1,"!B$12"))))</f>
        <v>20000</v>
      </c>
      <c r="L10" s="35" cm="1">
        <f t="array" aca="1" ref="L10" ca="1">IF(L$2=0,"",IF($A10&gt;L$3,"",INDIRECT(_xlfn.CONCAT(L$1,"!B$12"))))</f>
        <v>8000</v>
      </c>
      <c r="N10" s="35">
        <f t="shared" ca="1" si="0"/>
        <v>67000</v>
      </c>
      <c r="P10" s="35">
        <f t="shared" ca="1" si="1"/>
        <v>67000</v>
      </c>
    </row>
    <row r="11" spans="1:16" x14ac:dyDescent="0.2">
      <c r="A11" s="41">
        <v>5</v>
      </c>
      <c r="B11" s="35" cm="1">
        <f t="array" aca="1" ref="B11" ca="1">IF(B$2=0,"",IF($A11&gt;B$3,"",INDIRECT(_xlfn.CONCAT(B$1,"!B$13"))))</f>
        <v>5000</v>
      </c>
      <c r="C11" s="35" t="str" cm="1">
        <f t="array" aca="1" ref="C11" ca="1">IF(C$2=0,"",IF($A11&gt;C$3,"",INDIRECT(_xlfn.CONCAT(C$1,"!B$13"))))</f>
        <v/>
      </c>
      <c r="D11" s="35" t="str" cm="1">
        <f t="array" aca="1" ref="D11" ca="1">IF(D$2=0,"",IF($A11&gt;D$3,"",INDIRECT(_xlfn.CONCAT(D$1,"!B$13"))))</f>
        <v/>
      </c>
      <c r="E11" s="35" cm="1">
        <f t="array" aca="1" ref="E11" ca="1">IF(E$2=0,"",IF($A11&gt;E$3,"",INDIRECT(_xlfn.CONCAT(E$1,"!B$13"))))</f>
        <v>-40000</v>
      </c>
      <c r="F11" s="35" t="str" cm="1">
        <f t="array" aca="1" ref="F11" ca="1">IF(F$2=0,"",IF($A11&gt;F$3,"",INDIRECT(_xlfn.CONCAT(F$1,"!B$13"))))</f>
        <v/>
      </c>
      <c r="G11" s="35" t="str" cm="1">
        <f t="array" aca="1" ref="G11" ca="1">IF(G$2=0,"",IF($A11&gt;G$3,"",INDIRECT(_xlfn.CONCAT(G$1,"!B$13"))))</f>
        <v/>
      </c>
      <c r="H11" s="35" t="str" cm="1">
        <f t="array" aca="1" ref="H11" ca="1">IF(H$2=0,"",IF($A11&gt;H$3,"",INDIRECT(_xlfn.CONCAT(H$1,"!B$13"))))</f>
        <v/>
      </c>
      <c r="I11" s="35" t="str" cm="1">
        <f t="array" aca="1" ref="I11" ca="1">IF(I$2=0,"",IF($A11&gt;I$3,"",INDIRECT(_xlfn.CONCAT(I$1,"!B$13"))))</f>
        <v/>
      </c>
      <c r="J11" s="35" cm="1">
        <f t="array" aca="1" ref="J11" ca="1">IF(J$2=0,"",IF($A11&gt;J$3,"",INDIRECT(_xlfn.CONCAT(J$1,"!B$13"))))</f>
        <v>15000</v>
      </c>
      <c r="K11" s="35" cm="1">
        <f t="array" aca="1" ref="K11" ca="1">IF(K$2=0,"",IF($A11&gt;K$3,"",INDIRECT(_xlfn.CONCAT(K$1,"!B$13"))))</f>
        <v>14000</v>
      </c>
      <c r="L11" s="35" cm="1">
        <f t="array" aca="1" ref="L11" ca="1">IF(L$2=0,"",IF($A11&gt;L$3,"",INDIRECT(_xlfn.CONCAT(L$1,"!B$13"))))</f>
        <v>8000</v>
      </c>
      <c r="N11" s="35">
        <f t="shared" ca="1" si="0"/>
        <v>2000</v>
      </c>
      <c r="P11" s="35">
        <f t="shared" ca="1" si="1"/>
        <v>2000</v>
      </c>
    </row>
    <row r="12" spans="1:16" x14ac:dyDescent="0.2">
      <c r="A12" s="41">
        <v>6</v>
      </c>
      <c r="B12" s="35" cm="1">
        <f t="array" aca="1" ref="B12" ca="1">IF(B$2=0,"",IF($A12&gt;B$3,"",INDIRECT(_xlfn.CONCAT(B$1,"!B$14"))))</f>
        <v>15000</v>
      </c>
      <c r="C12" s="35" t="str" cm="1">
        <f t="array" aca="1" ref="C12" ca="1">IF(C$2=0,"",IF($A12&gt;C$3,"",INDIRECT(_xlfn.CONCAT(C$1,"!B$14"))))</f>
        <v/>
      </c>
      <c r="D12" s="35" t="str" cm="1">
        <f t="array" aca="1" ref="D12" ca="1">IF(D$2=0,"",IF($A12&gt;D$3,"",INDIRECT(_xlfn.CONCAT(D$1,"!B$14"))))</f>
        <v/>
      </c>
      <c r="E12" s="35" cm="1">
        <f t="array" aca="1" ref="E12" ca="1">IF(E$2=0,"",IF($A12&gt;E$3,"",INDIRECT(_xlfn.CONCAT(E$1,"!B$14"))))</f>
        <v>12000</v>
      </c>
      <c r="F12" s="35" t="str" cm="1">
        <f t="array" aca="1" ref="F12" ca="1">IF(F$2=0,"",IF($A12&gt;F$3,"",INDIRECT(_xlfn.CONCAT(F$1,"!B$14"))))</f>
        <v/>
      </c>
      <c r="G12" s="35" t="str" cm="1">
        <f t="array" aca="1" ref="G12" ca="1">IF(G$2=0,"",IF($A12&gt;G$3,"",INDIRECT(_xlfn.CONCAT(G$1,"!B$14"))))</f>
        <v/>
      </c>
      <c r="H12" s="35" t="str" cm="1">
        <f t="array" aca="1" ref="H12" ca="1">IF(H$2=0,"",IF($A12&gt;H$3,"",INDIRECT(_xlfn.CONCAT(H$1,"!B$14"))))</f>
        <v/>
      </c>
      <c r="I12" s="35" t="str" cm="1">
        <f t="array" aca="1" ref="I12" ca="1">IF(I$2=0,"",IF($A12&gt;I$3,"",INDIRECT(_xlfn.CONCAT(I$1,"!B$14"))))</f>
        <v/>
      </c>
      <c r="J12" s="35" cm="1">
        <f t="array" aca="1" ref="J12" ca="1">IF(J$2=0,"",IF($A12&gt;J$3,"",INDIRECT(_xlfn.CONCAT(J$1,"!B$14"))))</f>
        <v>15000</v>
      </c>
      <c r="K12" s="35" cm="1">
        <f t="array" aca="1" ref="K12" ca="1">IF(K$2=0,"",IF($A12&gt;K$3,"",INDIRECT(_xlfn.CONCAT(K$1,"!B$14"))))</f>
        <v>12000</v>
      </c>
      <c r="L12" s="35" cm="1">
        <f t="array" aca="1" ref="L12" ca="1">IF(L$2=0,"",IF($A12&gt;L$3,"",INDIRECT(_xlfn.CONCAT(L$1,"!B$14"))))</f>
        <v>8000</v>
      </c>
      <c r="N12" s="35">
        <f t="shared" ca="1" si="0"/>
        <v>62000</v>
      </c>
      <c r="P12" s="35">
        <f t="shared" ca="1" si="1"/>
        <v>62000</v>
      </c>
    </row>
    <row r="13" spans="1:16" x14ac:dyDescent="0.2">
      <c r="A13" s="41">
        <v>7</v>
      </c>
      <c r="B13" s="35" t="str" cm="1">
        <f t="array" aca="1" ref="B13" ca="1">IF(B$2=0,"",IF($A13&gt;B$3,"",INDIRECT(_xlfn.CONCAT(B$1,"!B$15"))))</f>
        <v/>
      </c>
      <c r="C13" s="35" t="str" cm="1">
        <f t="array" aca="1" ref="C13" ca="1">IF(C$2=0,"",IF($A13&gt;C$3,"",INDIRECT(_xlfn.CONCAT(C$1,"!B$15"))))</f>
        <v/>
      </c>
      <c r="D13" s="35" t="str" cm="1">
        <f t="array" aca="1" ref="D13" ca="1">IF(D$2=0,"",IF($A13&gt;D$3,"",INDIRECT(_xlfn.CONCAT(D$1,"!B$15"))))</f>
        <v/>
      </c>
      <c r="E13" s="35" cm="1">
        <f t="array" aca="1" ref="E13" ca="1">IF(E$2=0,"",IF($A13&gt;E$3,"",INDIRECT(_xlfn.CONCAT(E$1,"!B$15"))))</f>
        <v>15000</v>
      </c>
      <c r="F13" s="35" t="str" cm="1">
        <f t="array" aca="1" ref="F13" ca="1">IF(F$2=0,"",IF($A13&gt;F$3,"",INDIRECT(_xlfn.CONCAT(F$1,"!B$15"))))</f>
        <v/>
      </c>
      <c r="G13" s="35" t="str" cm="1">
        <f t="array" aca="1" ref="G13" ca="1">IF(G$2=0,"",IF($A13&gt;G$3,"",INDIRECT(_xlfn.CONCAT(G$1,"!B$15"))))</f>
        <v/>
      </c>
      <c r="H13" s="35" t="str" cm="1">
        <f t="array" aca="1" ref="H13" ca="1">IF(H$2=0,"",IF($A13&gt;H$3,"",INDIRECT(_xlfn.CONCAT(H$1,"!B$15"))))</f>
        <v/>
      </c>
      <c r="I13" s="35" t="str" cm="1">
        <f t="array" aca="1" ref="I13" ca="1">IF(I$2=0,"",IF($A13&gt;I$3,"",INDIRECT(_xlfn.CONCAT(I$1,"!B$15"))))</f>
        <v/>
      </c>
      <c r="J13" s="35" cm="1">
        <f t="array" aca="1" ref="J13" ca="1">IF(J$2=0,"",IF($A13&gt;J$3,"",INDIRECT(_xlfn.CONCAT(J$1,"!B$15"))))</f>
        <v>15000</v>
      </c>
      <c r="K13" s="35" cm="1">
        <f t="array" aca="1" ref="K13" ca="1">IF(K$2=0,"",IF($A13&gt;K$3,"",INDIRECT(_xlfn.CONCAT(K$1,"!B$15"))))</f>
        <v>9000</v>
      </c>
      <c r="L13" s="35" cm="1">
        <f t="array" aca="1" ref="L13" ca="1">IF(L$2=0,"",IF($A13&gt;L$3,"",INDIRECT(_xlfn.CONCAT(L$1,"!B$15"))))</f>
        <v>8000</v>
      </c>
      <c r="N13" s="35">
        <f t="shared" ca="1" si="0"/>
        <v>47000</v>
      </c>
      <c r="P13" s="35">
        <f t="shared" ca="1" si="1"/>
        <v>47000</v>
      </c>
    </row>
    <row r="14" spans="1:16" x14ac:dyDescent="0.2">
      <c r="A14" s="41">
        <v>8</v>
      </c>
      <c r="B14" s="35" t="str" cm="1">
        <f t="array" aca="1" ref="B14" ca="1">IF(B$2=0,"",IF($A14&gt;B$3,"",INDIRECT(_xlfn.CONCAT(B$1,"!B$16"))))</f>
        <v/>
      </c>
      <c r="C14" s="35" t="str" cm="1">
        <f t="array" aca="1" ref="C14" ca="1">IF(C$2=0,"",IF($A14&gt;C$3,"",INDIRECT(_xlfn.CONCAT(C$1,"!B$16"))))</f>
        <v/>
      </c>
      <c r="D14" s="35" t="str" cm="1">
        <f t="array" aca="1" ref="D14" ca="1">IF(D$2=0,"",IF($A14&gt;D$3,"",INDIRECT(_xlfn.CONCAT(D$1,"!B$16"))))</f>
        <v/>
      </c>
      <c r="E14" s="35" cm="1">
        <f t="array" aca="1" ref="E14" ca="1">IF(E$2=0,"",IF($A14&gt;E$3,"",INDIRECT(_xlfn.CONCAT(E$1,"!B$16"))))</f>
        <v>20000</v>
      </c>
      <c r="F14" s="35" t="str" cm="1">
        <f t="array" aca="1" ref="F14" ca="1">IF(F$2=0,"",IF($A14&gt;F$3,"",INDIRECT(_xlfn.CONCAT(F$1,"!B$16"))))</f>
        <v/>
      </c>
      <c r="G14" s="35" t="str" cm="1">
        <f t="array" aca="1" ref="G14" ca="1">IF(G$2=0,"",IF($A14&gt;G$3,"",INDIRECT(_xlfn.CONCAT(G$1,"!B$16"))))</f>
        <v/>
      </c>
      <c r="H14" s="35" t="str" cm="1">
        <f t="array" aca="1" ref="H14" ca="1">IF(H$2=0,"",IF($A14&gt;H$3,"",INDIRECT(_xlfn.CONCAT(H$1,"!B$16"))))</f>
        <v/>
      </c>
      <c r="I14" s="35" t="str" cm="1">
        <f t="array" aca="1" ref="I14" ca="1">IF(I$2=0,"",IF($A14&gt;I$3,"",INDIRECT(_xlfn.CONCAT(I$1,"!B$16"))))</f>
        <v/>
      </c>
      <c r="J14" s="35" cm="1">
        <f t="array" aca="1" ref="J14" ca="1">IF(J$2=0,"",IF($A14&gt;J$3,"",INDIRECT(_xlfn.CONCAT(J$1,"!B$16"))))</f>
        <v>15000</v>
      </c>
      <c r="K14" s="35" cm="1">
        <f t="array" aca="1" ref="K14" ca="1">IF(K$2=0,"",IF($A14&gt;K$3,"",INDIRECT(_xlfn.CONCAT(K$1,"!B$16"))))</f>
        <v>5000</v>
      </c>
      <c r="L14" s="35" cm="1">
        <f t="array" aca="1" ref="L14" ca="1">IF(L$2=0,"",IF($A14&gt;L$3,"",INDIRECT(_xlfn.CONCAT(L$1,"!B$16"))))</f>
        <v>8000</v>
      </c>
      <c r="N14" s="35">
        <f t="shared" ca="1" si="0"/>
        <v>48000</v>
      </c>
      <c r="P14" s="35">
        <f t="shared" ca="1" si="1"/>
        <v>48000</v>
      </c>
    </row>
    <row r="15" spans="1:16" x14ac:dyDescent="0.2">
      <c r="A15" s="41">
        <v>9</v>
      </c>
      <c r="B15" s="35" t="str" cm="1">
        <f t="array" aca="1" ref="B15" ca="1">IF(B$2=0,"",IF($A15&gt;B$3,"",INDIRECT(_xlfn.CONCAT(B$1,"!B$17"))))</f>
        <v/>
      </c>
      <c r="C15" s="35" t="str" cm="1">
        <f t="array" aca="1" ref="C15" ca="1">IF(C$2=0,"",IF($A15&gt;C$3,"",INDIRECT(_xlfn.CONCAT(C$1,"!B$17"))))</f>
        <v/>
      </c>
      <c r="D15" s="35" t="str" cm="1">
        <f t="array" aca="1" ref="D15" ca="1">IF(D$2=0,"",IF($A15&gt;D$3,"",INDIRECT(_xlfn.CONCAT(D$1,"!B$17"))))</f>
        <v/>
      </c>
      <c r="E15" s="35" cm="1">
        <f t="array" aca="1" ref="E15" ca="1">IF(E$2=0,"",IF($A15&gt;E$3,"",INDIRECT(_xlfn.CONCAT(E$1,"!B$17"))))</f>
        <v>20000</v>
      </c>
      <c r="F15" s="35" t="str" cm="1">
        <f t="array" aca="1" ref="F15" ca="1">IF(F$2=0,"",IF($A15&gt;F$3,"",INDIRECT(_xlfn.CONCAT(F$1,"!B$17"))))</f>
        <v/>
      </c>
      <c r="G15" s="35" t="str" cm="1">
        <f t="array" aca="1" ref="G15" ca="1">IF(G$2=0,"",IF($A15&gt;G$3,"",INDIRECT(_xlfn.CONCAT(G$1,"!B$17"))))</f>
        <v/>
      </c>
      <c r="H15" s="35" t="str" cm="1">
        <f t="array" aca="1" ref="H15" ca="1">IF(H$2=0,"",IF($A15&gt;H$3,"",INDIRECT(_xlfn.CONCAT(H$1,"!B$17"))))</f>
        <v/>
      </c>
      <c r="I15" s="35" t="str" cm="1">
        <f t="array" aca="1" ref="I15" ca="1">IF(I$2=0,"",IF($A15&gt;I$3,"",INDIRECT(_xlfn.CONCAT(I$1,"!B$17"))))</f>
        <v/>
      </c>
      <c r="J15" s="35" cm="1">
        <f t="array" aca="1" ref="J15" ca="1">IF(J$2=0,"",IF($A15&gt;J$3,"",INDIRECT(_xlfn.CONCAT(J$1,"!B$17"))))</f>
        <v>15000</v>
      </c>
      <c r="K15" s="35" cm="1">
        <f t="array" aca="1" ref="K15" ca="1">IF(K$2=0,"",IF($A15&gt;K$3,"",INDIRECT(_xlfn.CONCAT(K$1,"!B$17"))))</f>
        <v>5000</v>
      </c>
      <c r="L15" s="35" cm="1">
        <f t="array" aca="1" ref="L15" ca="1">IF(L$2=0,"",IF($A15&gt;L$3,"",INDIRECT(_xlfn.CONCAT(L$1,"!B$17"))))</f>
        <v>8000</v>
      </c>
      <c r="N15" s="35">
        <f t="shared" ca="1" si="0"/>
        <v>48000</v>
      </c>
      <c r="P15" s="35">
        <f t="shared" ca="1" si="1"/>
        <v>48000</v>
      </c>
    </row>
    <row r="16" spans="1:16" x14ac:dyDescent="0.2">
      <c r="A16" s="41">
        <v>10</v>
      </c>
      <c r="B16" s="35" t="str" cm="1">
        <f t="array" aca="1" ref="B16" ca="1">IF(B$2=0,"",IF($A17&gt;B$3,"",INDIRECT(_xlfn.CONCAT(B$1,"!B$18"))))</f>
        <v/>
      </c>
      <c r="C16" s="35" t="str" cm="1">
        <f t="array" aca="1" ref="C16" ca="1">IF(C$2=0,"",IF($A17&gt;C$3,"",INDIRECT(_xlfn.CONCAT(C$1,"!B$18"))))</f>
        <v/>
      </c>
      <c r="D16" s="35" t="str" cm="1">
        <f t="array" aca="1" ref="D16" ca="1">IF(D$2=0,"",IF($A17&gt;D$3,"",INDIRECT(_xlfn.CONCAT(D$1,"!B$18"))))</f>
        <v/>
      </c>
      <c r="E16" s="35" cm="1">
        <f t="array" aca="1" ref="E16" ca="1">IF(E$2=0,"",IF($A17&gt;E$3,"",INDIRECT(_xlfn.CONCAT(E$1,"!B$18"))))</f>
        <v>20000</v>
      </c>
      <c r="F16" s="35" t="str" cm="1">
        <f t="array" aca="1" ref="F16" ca="1">IF(F$2=0,"",IF($A17&gt;F$3,"",INDIRECT(_xlfn.CONCAT(F$1,"!B$18"))))</f>
        <v/>
      </c>
      <c r="G16" s="35" t="str" cm="1">
        <f t="array" aca="1" ref="G16" ca="1">IF(G$2=0,"",IF($A17&gt;G$3,"",INDIRECT(_xlfn.CONCAT(G$1,"!B$18"))))</f>
        <v/>
      </c>
      <c r="H16" s="35" t="str" cm="1">
        <f t="array" aca="1" ref="H16" ca="1">IF(H$2=0,"",IF($A17&gt;H$3,"",INDIRECT(_xlfn.CONCAT(H$1,"!B$18"))))</f>
        <v/>
      </c>
      <c r="I16" s="35" t="str" cm="1">
        <f t="array" aca="1" ref="I16" ca="1">IF(I$2=0,"",IF($A17&gt;I$3,"",INDIRECT(_xlfn.CONCAT(I$1,"!B$18"))))</f>
        <v/>
      </c>
      <c r="J16" s="35" cm="1">
        <f t="array" aca="1" ref="J16" ca="1">IF(J$2=0,"",IF($A17&gt;J$3,"",INDIRECT(_xlfn.CONCAT(J$1,"!B$18"))))</f>
        <v>15000</v>
      </c>
      <c r="K16" s="35" cm="1">
        <f t="array" aca="1" ref="K16" ca="1">IF(K$2=0,"",IF($A17&gt;K$3,"",INDIRECT(_xlfn.CONCAT(K$1,"!B$18"))))</f>
        <v>5000</v>
      </c>
      <c r="L16" s="35" cm="1">
        <f t="array" aca="1" ref="L16" ca="1">IF(L$2=0,"",IF($A17&gt;L$3,"",INDIRECT(_xlfn.CONCAT(L$1,"!B$18"))))</f>
        <v>8000</v>
      </c>
      <c r="N16" s="35">
        <f t="shared" ca="1" si="0"/>
        <v>48000</v>
      </c>
      <c r="P16" s="35">
        <f t="shared" ca="1" si="1"/>
        <v>48000</v>
      </c>
    </row>
    <row r="17" spans="1:16" x14ac:dyDescent="0.2">
      <c r="A17" s="41">
        <v>11</v>
      </c>
      <c r="B17" s="35" t="str" cm="1">
        <f t="array" aca="1" ref="B17" ca="1">IF(B$2=0,"",IF($A17&gt;B$3,"",INDIRECT(_xlfn.CONCAT(B$1,"!B$19"))))</f>
        <v/>
      </c>
      <c r="C17" s="35" t="str" cm="1">
        <f t="array" aca="1" ref="C17" ca="1">IF(C$2=0,"",IF($A17&gt;C$3,"",INDIRECT(_xlfn.CONCAT(C$1,"!B$19"))))</f>
        <v/>
      </c>
      <c r="D17" s="35" t="str" cm="1">
        <f t="array" aca="1" ref="D17" ca="1">IF(D$2=0,"",IF($A17&gt;D$3,"",INDIRECT(_xlfn.CONCAT(D$1,"!B$19"))))</f>
        <v/>
      </c>
      <c r="E17" s="35" cm="1">
        <f t="array" aca="1" ref="E17" ca="1">IF(E$2=0,"",IF($A17&gt;E$3,"",INDIRECT(_xlfn.CONCAT(E$1,"!B$19"))))</f>
        <v>20000</v>
      </c>
      <c r="F17" s="35" t="str" cm="1">
        <f t="array" aca="1" ref="F17" ca="1">IF(F$2=0,"",IF($A17&gt;F$3,"",INDIRECT(_xlfn.CONCAT(F$1,"!B$19"))))</f>
        <v/>
      </c>
      <c r="G17" s="35" t="str" cm="1">
        <f t="array" aca="1" ref="G17" ca="1">IF(G$2=0,"",IF($A17&gt;G$3,"",INDIRECT(_xlfn.CONCAT(G$1,"!B$19"))))</f>
        <v/>
      </c>
      <c r="H17" s="35" t="str" cm="1">
        <f t="array" aca="1" ref="H17" ca="1">IF(H$2=0,"",IF($A17&gt;H$3,"",INDIRECT(_xlfn.CONCAT(H$1,"!B$19"))))</f>
        <v/>
      </c>
      <c r="I17" s="35" t="str" cm="1">
        <f t="array" aca="1" ref="I17" ca="1">IF(I$2=0,"",IF($A17&gt;I$3,"",INDIRECT(_xlfn.CONCAT(I$1,"!B$19"))))</f>
        <v/>
      </c>
      <c r="J17" s="35" cm="1">
        <f t="array" aca="1" ref="J17" ca="1">IF(J$2=0,"",IF($A17&gt;J$3,"",INDIRECT(_xlfn.CONCAT(J$1,"!B$19"))))</f>
        <v>15000</v>
      </c>
      <c r="K17" s="35" cm="1">
        <f t="array" aca="1" ref="K17" ca="1">IF(K$2=0,"",IF($A17&gt;K$3,"",INDIRECT(_xlfn.CONCAT(K$1,"!B$19"))))</f>
        <v>5000</v>
      </c>
      <c r="L17" s="35" cm="1">
        <f t="array" aca="1" ref="L17" ca="1">IF(L$2=0,"",IF($A17&gt;L$3,"",INDIRECT(_xlfn.CONCAT(L$1,"!B$19"))))</f>
        <v>8000</v>
      </c>
      <c r="N17" s="35">
        <f t="shared" ca="1" si="0"/>
        <v>48000</v>
      </c>
      <c r="P17" s="35">
        <f t="shared" ca="1" si="1"/>
        <v>48000</v>
      </c>
    </row>
    <row r="18" spans="1:16" x14ac:dyDescent="0.2">
      <c r="A18" s="41">
        <v>12</v>
      </c>
      <c r="B18" s="35" t="str" cm="1">
        <f t="array" aca="1" ref="B18" ca="1">IF(B$2=0,"",IF($A18&gt;B$3,"",INDIRECT(_xlfn.CONCAT(B$1,"!B$20"))))</f>
        <v/>
      </c>
      <c r="C18" s="35" t="str" cm="1">
        <f t="array" aca="1" ref="C18" ca="1">IF(C$2=0,"",IF($A18&gt;C$3,"",INDIRECT(_xlfn.CONCAT(C$1,"!B$20"))))</f>
        <v/>
      </c>
      <c r="D18" s="35" t="str" cm="1">
        <f t="array" aca="1" ref="D18" ca="1">IF(D$2=0,"",IF($A18&gt;D$3,"",INDIRECT(_xlfn.CONCAT(D$1,"!B$20"))))</f>
        <v/>
      </c>
      <c r="E18" s="35" cm="1">
        <f t="array" aca="1" ref="E18" ca="1">IF(E$2=0,"",IF($A18&gt;E$3,"",INDIRECT(_xlfn.CONCAT(E$1,"!B$20"))))</f>
        <v>20000</v>
      </c>
      <c r="F18" s="35" t="str" cm="1">
        <f t="array" aca="1" ref="F18" ca="1">IF(F$2=0,"",IF($A18&gt;F$3,"",INDIRECT(_xlfn.CONCAT(F$1,"!B$20"))))</f>
        <v/>
      </c>
      <c r="G18" s="35" t="str" cm="1">
        <f t="array" aca="1" ref="G18" ca="1">IF(G$2=0,"",IF($A18&gt;G$3,"",INDIRECT(_xlfn.CONCAT(G$1,"!B$20"))))</f>
        <v/>
      </c>
      <c r="H18" s="35" t="str" cm="1">
        <f t="array" aca="1" ref="H18" ca="1">IF(H$2=0,"",IF($A18&gt;H$3,"",INDIRECT(_xlfn.CONCAT(H$1,"!B$20"))))</f>
        <v/>
      </c>
      <c r="I18" s="35" t="str" cm="1">
        <f t="array" aca="1" ref="I18" ca="1">IF(I$2=0,"",IF($A18&gt;I$3,"",INDIRECT(_xlfn.CONCAT(I$1,"!B$20"))))</f>
        <v/>
      </c>
      <c r="J18" s="35" cm="1">
        <f t="array" aca="1" ref="J18" ca="1">IF(J$2=0,"",IF($A18&gt;J$3,"",INDIRECT(_xlfn.CONCAT(J$1,"!B$20"))))</f>
        <v>15000</v>
      </c>
      <c r="K18" s="35" cm="1">
        <f t="array" aca="1" ref="K18" ca="1">IF(K$2=0,"",IF($A18&gt;K$3,"",INDIRECT(_xlfn.CONCAT(K$1,"!B$20"))))</f>
        <v>5000</v>
      </c>
      <c r="L18" s="35" cm="1">
        <f t="array" aca="1" ref="L18" ca="1">IF(L$2=0,"",IF($A18&gt;L$3,"",INDIRECT(_xlfn.CONCAT(L$1,"!B$20"))))</f>
        <v>8000</v>
      </c>
      <c r="N18" s="35">
        <f t="shared" ca="1" si="0"/>
        <v>48000</v>
      </c>
      <c r="P18" s="35">
        <f t="shared" ca="1" si="1"/>
        <v>48000</v>
      </c>
    </row>
    <row r="19" spans="1:16" x14ac:dyDescent="0.2">
      <c r="A19" s="41">
        <v>13</v>
      </c>
      <c r="B19" s="35" t="str" cm="1">
        <f t="array" aca="1" ref="B19" ca="1">IF(B$2=0,"",IF($A19&gt;B$3,"",INDIRECT(_xlfn.CONCAT(B$1,"!B$21"))))</f>
        <v/>
      </c>
      <c r="C19" s="35" t="str" cm="1">
        <f t="array" aca="1" ref="C19" ca="1">IF(C$2=0,"",IF($A19&gt;C$3,"",INDIRECT(_xlfn.CONCAT(C$1,"!B$21"))))</f>
        <v/>
      </c>
      <c r="D19" s="35" t="str" cm="1">
        <f t="array" aca="1" ref="D19" ca="1">IF(D$2=0,"",IF($A19&gt;D$3,"",INDIRECT(_xlfn.CONCAT(D$1,"!B$21"))))</f>
        <v/>
      </c>
      <c r="E19" s="35" cm="1">
        <f t="array" aca="1" ref="E19" ca="1">IF(E$2=0,"",IF($A19&gt;E$3,"",INDIRECT(_xlfn.CONCAT(E$1,"!B$21"))))</f>
        <v>20000</v>
      </c>
      <c r="F19" s="35" t="str" cm="1">
        <f t="array" aca="1" ref="F19" ca="1">IF(F$2=0,"",IF($A19&gt;F$3,"",INDIRECT(_xlfn.CONCAT(F$1,"!B$21"))))</f>
        <v/>
      </c>
      <c r="G19" s="35" t="str" cm="1">
        <f t="array" aca="1" ref="G19" ca="1">IF(G$2=0,"",IF($A19&gt;G$3,"",INDIRECT(_xlfn.CONCAT(G$1,"!B$21"))))</f>
        <v/>
      </c>
      <c r="H19" s="35" t="str" cm="1">
        <f t="array" aca="1" ref="H19" ca="1">IF(H$2=0,"",IF($A19&gt;H$3,"",INDIRECT(_xlfn.CONCAT(H$1,"!B$21"))))</f>
        <v/>
      </c>
      <c r="I19" s="35" t="str" cm="1">
        <f t="array" aca="1" ref="I19" ca="1">IF(I$2=0,"",IF($A19&gt;I$3,"",INDIRECT(_xlfn.CONCAT(I$1,"!B$21"))))</f>
        <v/>
      </c>
      <c r="J19" s="35" cm="1">
        <f t="array" aca="1" ref="J19" ca="1">IF(J$2=0,"",IF($A19&gt;J$3,"",INDIRECT(_xlfn.CONCAT(J$1,"!B$21"))))</f>
        <v>15000</v>
      </c>
      <c r="K19" s="35" cm="1">
        <f t="array" aca="1" ref="K19" ca="1">IF(K$2=0,"",IF($A19&gt;K$3,"",INDIRECT(_xlfn.CONCAT(K$1,"!B$21"))))</f>
        <v>5000</v>
      </c>
      <c r="L19" s="35" cm="1">
        <f t="array" aca="1" ref="L19" ca="1">IF(L$2=0,"",IF($A19&gt;L$3,"",INDIRECT(_xlfn.CONCAT(L$1,"!B$21"))))</f>
        <v>8000</v>
      </c>
      <c r="N19" s="35">
        <f t="shared" ca="1" si="0"/>
        <v>48000</v>
      </c>
      <c r="P19" s="35">
        <f t="shared" ca="1" si="1"/>
        <v>48000</v>
      </c>
    </row>
    <row r="20" spans="1:16" x14ac:dyDescent="0.2">
      <c r="A20" s="41">
        <v>14</v>
      </c>
      <c r="B20" s="35" t="str" cm="1">
        <f t="array" aca="1" ref="B20" ca="1">IF(B$2=0,"",IF($A20&gt;B$3,"",INDIRECT(_xlfn.CONCAT(B$1,"!B$22"))))</f>
        <v/>
      </c>
      <c r="C20" s="35" t="str" cm="1">
        <f t="array" aca="1" ref="C20" ca="1">IF(C$2=0,"",IF($A20&gt;C$3,"",INDIRECT(_xlfn.CONCAT(C$1,"!B$22"))))</f>
        <v/>
      </c>
      <c r="D20" s="35" t="str" cm="1">
        <f t="array" aca="1" ref="D20" ca="1">IF(D$2=0,"",IF($A20&gt;D$3,"",INDIRECT(_xlfn.CONCAT(D$1,"!B$22"))))</f>
        <v/>
      </c>
      <c r="E20" s="35" cm="1">
        <f t="array" aca="1" ref="E20" ca="1">IF(E$2=0,"",IF($A20&gt;E$3,"",INDIRECT(_xlfn.CONCAT(E$1,"!B$22"))))</f>
        <v>20000</v>
      </c>
      <c r="F20" s="35" t="str" cm="1">
        <f t="array" aca="1" ref="F20" ca="1">IF(F$2=0,"",IF($A20&gt;F$3,"",INDIRECT(_xlfn.CONCAT(F$1,"!B$22"))))</f>
        <v/>
      </c>
      <c r="G20" s="35" t="str" cm="1">
        <f t="array" aca="1" ref="G20" ca="1">IF(G$2=0,"",IF($A20&gt;G$3,"",INDIRECT(_xlfn.CONCAT(G$1,"!B$22"))))</f>
        <v/>
      </c>
      <c r="H20" s="35" t="str" cm="1">
        <f t="array" aca="1" ref="H20" ca="1">IF(H$2=0,"",IF($A20&gt;H$3,"",INDIRECT(_xlfn.CONCAT(H$1,"!B$22"))))</f>
        <v/>
      </c>
      <c r="I20" s="35" t="str" cm="1">
        <f t="array" aca="1" ref="I20" ca="1">IF(I$2=0,"",IF($A20&gt;I$3,"",INDIRECT(_xlfn.CONCAT(I$1,"!B$22"))))</f>
        <v/>
      </c>
      <c r="J20" s="35" cm="1">
        <f t="array" aca="1" ref="J20" ca="1">IF(J$2=0,"",IF($A20&gt;J$3,"",INDIRECT(_xlfn.CONCAT(J$1,"!B$22"))))</f>
        <v>15000</v>
      </c>
      <c r="K20" s="35" cm="1">
        <f t="array" aca="1" ref="K20" ca="1">IF(K$2=0,"",IF($A20&gt;K$3,"",INDIRECT(_xlfn.CONCAT(K$1,"!B$22"))))</f>
        <v>5000</v>
      </c>
      <c r="L20" s="35" cm="1">
        <f t="array" aca="1" ref="L20" ca="1">IF(L$2=0,"",IF($A20&gt;L$3,"",INDIRECT(_xlfn.CONCAT(L$1,"!B$22"))))</f>
        <v>8000</v>
      </c>
      <c r="N20" s="35">
        <f t="shared" ca="1" si="0"/>
        <v>48000</v>
      </c>
      <c r="P20" s="35">
        <f t="shared" ca="1" si="1"/>
        <v>48000</v>
      </c>
    </row>
    <row r="21" spans="1:16" x14ac:dyDescent="0.2">
      <c r="A21" s="41">
        <v>15</v>
      </c>
      <c r="B21" s="35" t="str" cm="1">
        <f t="array" aca="1" ref="B21" ca="1">IF(B$2=0,"",IF($A21&gt;B$3,"",INDIRECT(_xlfn.CONCAT(B$1,"!B$23"))))</f>
        <v/>
      </c>
      <c r="C21" s="35" t="str" cm="1">
        <f t="array" aca="1" ref="C21" ca="1">IF(C$2=0,"",IF($A21&gt;C$3,"",INDIRECT(_xlfn.CONCAT(C$1,"!B$23"))))</f>
        <v/>
      </c>
      <c r="D21" s="35" t="str" cm="1">
        <f t="array" aca="1" ref="D21" ca="1">IF(D$2=0,"",IF($A21&gt;D$3,"",INDIRECT(_xlfn.CONCAT(D$1,"!B$23"))))</f>
        <v/>
      </c>
      <c r="E21" s="35" cm="1">
        <f t="array" aca="1" ref="E21" ca="1">IF(E$2=0,"",IF($A21&gt;E$3,"",INDIRECT(_xlfn.CONCAT(E$1,"!B$23"))))</f>
        <v>20000</v>
      </c>
      <c r="F21" s="35" t="str" cm="1">
        <f t="array" aca="1" ref="F21" ca="1">IF(F$2=0,"",IF($A21&gt;F$3,"",INDIRECT(_xlfn.CONCAT(F$1,"!B$23"))))</f>
        <v/>
      </c>
      <c r="G21" s="35" t="str" cm="1">
        <f t="array" aca="1" ref="G21" ca="1">IF(G$2=0,"",IF($A21&gt;G$3,"",INDIRECT(_xlfn.CONCAT(G$1,"!B$23"))))</f>
        <v/>
      </c>
      <c r="H21" s="35" t="str" cm="1">
        <f t="array" aca="1" ref="H21" ca="1">IF(H$2=0,"",IF($A21&gt;H$3,"",INDIRECT(_xlfn.CONCAT(H$1,"!B$23"))))</f>
        <v/>
      </c>
      <c r="I21" s="35" t="str" cm="1">
        <f t="array" aca="1" ref="I21" ca="1">IF(I$2=0,"",IF($A21&gt;I$3,"",INDIRECT(_xlfn.CONCAT(I$1,"!B$23"))))</f>
        <v/>
      </c>
      <c r="J21" s="35" cm="1">
        <f t="array" aca="1" ref="J21" ca="1">IF(J$2=0,"",IF($A21&gt;J$3,"",INDIRECT(_xlfn.CONCAT(J$1,"!B$23"))))</f>
        <v>15000</v>
      </c>
      <c r="K21" s="35" t="str" cm="1">
        <f t="array" aca="1" ref="K21" ca="1">IF(K$2=0,"",IF($A21&gt;K$3,"",INDIRECT(_xlfn.CONCAT(K$1,"!B$23"))))</f>
        <v/>
      </c>
      <c r="L21" s="35" cm="1">
        <f t="array" aca="1" ref="L21" ca="1">IF(L$2=0,"",IF($A21&gt;L$3,"",INDIRECT(_xlfn.CONCAT(L$1,"!B$23"))))</f>
        <v>8000</v>
      </c>
      <c r="N21" s="35">
        <f t="shared" ca="1" si="0"/>
        <v>43000</v>
      </c>
      <c r="P21" s="35">
        <f t="shared" ca="1" si="1"/>
        <v>43000</v>
      </c>
    </row>
    <row r="22" spans="1:16" x14ac:dyDescent="0.2">
      <c r="A22" s="41">
        <v>16</v>
      </c>
      <c r="B22" s="35" t="str" cm="1">
        <f t="array" aca="1" ref="B22" ca="1">IF(B$2=0,"",IF($A22&gt;B$3,"",INDIRECT(_xlfn.CONCAT(B$1,"!B$24"))))</f>
        <v/>
      </c>
      <c r="C22" s="35" t="str" cm="1">
        <f t="array" aca="1" ref="C22" ca="1">IF(C$2=0,"",IF($A22&gt;C$3,"",INDIRECT(_xlfn.CONCAT(C$1,"!B$24"))))</f>
        <v/>
      </c>
      <c r="D22" s="35" t="str" cm="1">
        <f t="array" aca="1" ref="D22" ca="1">IF(D$2=0,"",IF($A22&gt;D$3,"",INDIRECT(_xlfn.CONCAT(D$1,"!B$24"))))</f>
        <v/>
      </c>
      <c r="E22" s="35" t="str" cm="1">
        <f t="array" aca="1" ref="E22" ca="1">IF(E$2=0,"",IF($A22&gt;E$3,"",INDIRECT(_xlfn.CONCAT(E$1,"!B$24"))))</f>
        <v/>
      </c>
      <c r="F22" s="35" t="str" cm="1">
        <f t="array" aca="1" ref="F22" ca="1">IF(F$2=0,"",IF($A22&gt;F$3,"",INDIRECT(_xlfn.CONCAT(F$1,"!B$24"))))</f>
        <v/>
      </c>
      <c r="G22" s="35" t="str" cm="1">
        <f t="array" aca="1" ref="G22" ca="1">IF(G$2=0,"",IF($A22&gt;G$3,"",INDIRECT(_xlfn.CONCAT(G$1,"!B$24"))))</f>
        <v/>
      </c>
      <c r="H22" s="35" t="str" cm="1">
        <f t="array" aca="1" ref="H22" ca="1">IF(H$2=0,"",IF($A22&gt;H$3,"",INDIRECT(_xlfn.CONCAT(H$1,"!B$24"))))</f>
        <v/>
      </c>
      <c r="I22" s="35" t="str" cm="1">
        <f t="array" aca="1" ref="I22" ca="1">IF(I$2=0,"",IF($A22&gt;I$3,"",INDIRECT(_xlfn.CONCAT(I$1,"!B$24"))))</f>
        <v/>
      </c>
      <c r="J22" s="35" t="str" cm="1">
        <f t="array" aca="1" ref="J22" ca="1">IF(J$2=0,"",IF($A22&gt;J$3,"",INDIRECT(_xlfn.CONCAT(J$1,"!B$24"))))</f>
        <v/>
      </c>
      <c r="K22" s="35" t="str" cm="1">
        <f t="array" aca="1" ref="K22" ca="1">IF(K$2=0,"",IF($A22&gt;K$3,"",INDIRECT(_xlfn.CONCAT(K$1,"!B$24"))))</f>
        <v/>
      </c>
      <c r="L22" s="35" cm="1">
        <f t="array" aca="1" ref="L22" ca="1">IF(L$2=0,"",IF($A22&gt;L$3,"",INDIRECT(_xlfn.CONCAT(L$1,"!B$24"))))</f>
        <v>8000</v>
      </c>
      <c r="N22" s="35">
        <f t="shared" ca="1" si="0"/>
        <v>8000</v>
      </c>
      <c r="P22" s="35">
        <f t="shared" ca="1" si="1"/>
        <v>8000</v>
      </c>
    </row>
    <row r="23" spans="1:16" x14ac:dyDescent="0.2">
      <c r="A23" s="41">
        <v>17</v>
      </c>
      <c r="B23" s="35" t="str" cm="1">
        <f t="array" aca="1" ref="B23" ca="1">IF(B$2=0,"",IF($A23&gt;B$3,"",INDIRECT(_xlfn.CONCAT(B$1,"!B$25"))))</f>
        <v/>
      </c>
      <c r="C23" s="35" t="str" cm="1">
        <f t="array" aca="1" ref="C23" ca="1">IF(C$2=0,"",IF($A23&gt;C$3,"",INDIRECT(_xlfn.CONCAT(C$1,"!B$25"))))</f>
        <v/>
      </c>
      <c r="D23" s="35" t="str" cm="1">
        <f t="array" aca="1" ref="D23" ca="1">IF(D$2=0,"",IF($A23&gt;D$3,"",INDIRECT(_xlfn.CONCAT(D$1,"!B$25"))))</f>
        <v/>
      </c>
      <c r="E23" s="35" t="str" cm="1">
        <f t="array" aca="1" ref="E23" ca="1">IF(E$2=0,"",IF($A23&gt;E$3,"",INDIRECT(_xlfn.CONCAT(E$1,"!B$25"))))</f>
        <v/>
      </c>
      <c r="F23" s="35" t="str" cm="1">
        <f t="array" aca="1" ref="F23" ca="1">IF(F$2=0,"",IF($A23&gt;F$3,"",INDIRECT(_xlfn.CONCAT(F$1,"!B$25"))))</f>
        <v/>
      </c>
      <c r="G23" s="35" t="str" cm="1">
        <f t="array" aca="1" ref="G23" ca="1">IF(G$2=0,"",IF($A23&gt;G$3,"",INDIRECT(_xlfn.CONCAT(G$1,"!B$25"))))</f>
        <v/>
      </c>
      <c r="H23" s="35" t="str" cm="1">
        <f t="array" aca="1" ref="H23" ca="1">IF(H$2=0,"",IF($A23&gt;H$3,"",INDIRECT(_xlfn.CONCAT(H$1,"!B$25"))))</f>
        <v/>
      </c>
      <c r="I23" s="35" t="str" cm="1">
        <f t="array" aca="1" ref="I23" ca="1">IF(I$2=0,"",IF($A23&gt;I$3,"",INDIRECT(_xlfn.CONCAT(I$1,"!B$25"))))</f>
        <v/>
      </c>
      <c r="J23" s="35" t="str" cm="1">
        <f t="array" aca="1" ref="J23" ca="1">IF(J$2=0,"",IF($A23&gt;J$3,"",INDIRECT(_xlfn.CONCAT(J$1,"!B$25"))))</f>
        <v/>
      </c>
      <c r="K23" s="35" t="str" cm="1">
        <f t="array" aca="1" ref="K23" ca="1">IF(K$2=0,"",IF($A23&gt;K$3,"",INDIRECT(_xlfn.CONCAT(K$1,"!B$25"))))</f>
        <v/>
      </c>
      <c r="L23" s="35" cm="1">
        <f t="array" aca="1" ref="L23" ca="1">IF(L$2=0,"",IF($A23&gt;L$3,"",INDIRECT(_xlfn.CONCAT(L$1,"!B$25"))))</f>
        <v>8000</v>
      </c>
      <c r="N23" s="35">
        <f t="shared" ca="1" si="0"/>
        <v>8000</v>
      </c>
      <c r="P23" s="35">
        <f t="shared" ca="1" si="1"/>
        <v>8000</v>
      </c>
    </row>
    <row r="24" spans="1:16" x14ac:dyDescent="0.2">
      <c r="A24" s="41">
        <v>18</v>
      </c>
      <c r="B24" s="35" t="str" cm="1">
        <f t="array" aca="1" ref="B24" ca="1">IF(B$2=0,"",IF($A24&gt;B$3,"",INDIRECT(_xlfn.CONCAT(B$1,"!B$26"))))</f>
        <v/>
      </c>
      <c r="C24" s="35" t="str" cm="1">
        <f t="array" aca="1" ref="C24" ca="1">IF(C$2=0,"",IF($A24&gt;C$3,"",INDIRECT(_xlfn.CONCAT(C$1,"!B$26"))))</f>
        <v/>
      </c>
      <c r="D24" s="35" t="str" cm="1">
        <f t="array" aca="1" ref="D24" ca="1">IF(D$2=0,"",IF($A24&gt;D$3,"",INDIRECT(_xlfn.CONCAT(D$1,"!B$26"))))</f>
        <v/>
      </c>
      <c r="E24" s="35" t="str" cm="1">
        <f t="array" aca="1" ref="E24" ca="1">IF(E$2=0,"",IF($A24&gt;E$3,"",INDIRECT(_xlfn.CONCAT(E$1,"!B$26"))))</f>
        <v/>
      </c>
      <c r="F24" s="35" t="str" cm="1">
        <f t="array" aca="1" ref="F24" ca="1">IF(F$2=0,"",IF($A24&gt;F$3,"",INDIRECT(_xlfn.CONCAT(F$1,"!B$26"))))</f>
        <v/>
      </c>
      <c r="G24" s="35" t="str" cm="1">
        <f t="array" aca="1" ref="G24" ca="1">IF(G$2=0,"",IF($A24&gt;G$3,"",INDIRECT(_xlfn.CONCAT(G$1,"!B$26"))))</f>
        <v/>
      </c>
      <c r="H24" s="35" t="str" cm="1">
        <f t="array" aca="1" ref="H24" ca="1">IF(H$2=0,"",IF($A24&gt;H$3,"",INDIRECT(_xlfn.CONCAT(H$1,"!B$26"))))</f>
        <v/>
      </c>
      <c r="I24" s="35" t="str" cm="1">
        <f t="array" aca="1" ref="I24" ca="1">IF(I$2=0,"",IF($A24&gt;I$3,"",INDIRECT(_xlfn.CONCAT(I$1,"!B$26"))))</f>
        <v/>
      </c>
      <c r="J24" s="35" t="str" cm="1">
        <f t="array" aca="1" ref="J24" ca="1">IF(J$2=0,"",IF($A24&gt;J$3,"",INDIRECT(_xlfn.CONCAT(J$1,"!B$26"))))</f>
        <v/>
      </c>
      <c r="K24" s="35" t="str" cm="1">
        <f t="array" aca="1" ref="K24" ca="1">IF(K$2=0,"",IF($A24&gt;K$3,"",INDIRECT(_xlfn.CONCAT(K$1,"!B$26"))))</f>
        <v/>
      </c>
      <c r="L24" s="35" cm="1">
        <f t="array" aca="1" ref="L24" ca="1">IF(L$2=0,"",IF($A24&gt;L$3,"",INDIRECT(_xlfn.CONCAT(L$1,"!B$26"))))</f>
        <v>8000</v>
      </c>
      <c r="N24" s="35">
        <f t="shared" ca="1" si="0"/>
        <v>8000</v>
      </c>
      <c r="P24" s="35">
        <f t="shared" ca="1" si="1"/>
        <v>8000</v>
      </c>
    </row>
    <row r="25" spans="1:16" x14ac:dyDescent="0.2">
      <c r="A25" s="41">
        <v>19</v>
      </c>
      <c r="B25" s="35" t="str" cm="1">
        <f t="array" aca="1" ref="B25" ca="1">IF(B$2=0,"",IF($A25&gt;B$3,"",INDIRECT(_xlfn.CONCAT(B$1,"!B$27"))))</f>
        <v/>
      </c>
      <c r="C25" s="35" t="str" cm="1">
        <f t="array" aca="1" ref="C25" ca="1">IF(C$2=0,"",IF($A25&gt;C$3,"",INDIRECT(_xlfn.CONCAT(C$1,"!B$27"))))</f>
        <v/>
      </c>
      <c r="D25" s="35" t="str" cm="1">
        <f t="array" aca="1" ref="D25" ca="1">IF(D$2=0,"",IF($A25&gt;D$3,"",INDIRECT(_xlfn.CONCAT(D$1,"!B$27"))))</f>
        <v/>
      </c>
      <c r="E25" s="35" t="str" cm="1">
        <f t="array" aca="1" ref="E25" ca="1">IF(E$2=0,"",IF($A25&gt;E$3,"",INDIRECT(_xlfn.CONCAT(E$1,"!B$27"))))</f>
        <v/>
      </c>
      <c r="F25" s="35" t="str" cm="1">
        <f t="array" aca="1" ref="F25" ca="1">IF(F$2=0,"",IF($A25&gt;F$3,"",INDIRECT(_xlfn.CONCAT(F$1,"!B$27"))))</f>
        <v/>
      </c>
      <c r="G25" s="35" t="str" cm="1">
        <f t="array" aca="1" ref="G25" ca="1">IF(G$2=0,"",IF($A25&gt;G$3,"",INDIRECT(_xlfn.CONCAT(G$1,"!B$27"))))</f>
        <v/>
      </c>
      <c r="H25" s="35" t="str" cm="1">
        <f t="array" aca="1" ref="H25" ca="1">IF(H$2=0,"",IF($A25&gt;H$3,"",INDIRECT(_xlfn.CONCAT(H$1,"!B$27"))))</f>
        <v/>
      </c>
      <c r="I25" s="35" t="str" cm="1">
        <f t="array" aca="1" ref="I25" ca="1">IF(I$2=0,"",IF($A25&gt;I$3,"",INDIRECT(_xlfn.CONCAT(I$1,"!B$27"))))</f>
        <v/>
      </c>
      <c r="J25" s="35" t="str" cm="1">
        <f t="array" aca="1" ref="J25" ca="1">IF(J$2=0,"",IF($A25&gt;J$3,"",INDIRECT(_xlfn.CONCAT(J$1,"!B$27"))))</f>
        <v/>
      </c>
      <c r="K25" s="35" t="str" cm="1">
        <f t="array" aca="1" ref="K25" ca="1">IF(K$2=0,"",IF($A25&gt;K$3,"",INDIRECT(_xlfn.CONCAT(K$1,"!B$27"))))</f>
        <v/>
      </c>
      <c r="L25" s="35" cm="1">
        <f t="array" aca="1" ref="L25" ca="1">IF(L$2=0,"",IF($A25&gt;L$3,"",INDIRECT(_xlfn.CONCAT(L$1,"!B$27"))))</f>
        <v>8000</v>
      </c>
      <c r="N25" s="35">
        <f t="shared" ca="1" si="0"/>
        <v>8000</v>
      </c>
      <c r="P25" s="35">
        <f t="shared" ca="1" si="1"/>
        <v>8000</v>
      </c>
    </row>
    <row r="26" spans="1:16" x14ac:dyDescent="0.2">
      <c r="A26" s="41">
        <v>20</v>
      </c>
      <c r="B26" s="35" t="str" cm="1">
        <f t="array" aca="1" ref="B26" ca="1">IF(B$2=0,"",IF($A26&gt;B$3,"",INDIRECT(_xlfn.CONCAT(B$1,"!B$28"))))</f>
        <v/>
      </c>
      <c r="C26" s="35" t="str" cm="1">
        <f t="array" aca="1" ref="C26" ca="1">IF(C$2=0,"",IF($A26&gt;C$3,"",INDIRECT(_xlfn.CONCAT(C$1,"!B$28"))))</f>
        <v/>
      </c>
      <c r="D26" s="35" t="str" cm="1">
        <f t="array" aca="1" ref="D26" ca="1">IF(D$2=0,"",IF($A26&gt;D$3,"",INDIRECT(_xlfn.CONCAT(D$1,"!B$28"))))</f>
        <v/>
      </c>
      <c r="E26" s="35" t="str" cm="1">
        <f t="array" aca="1" ref="E26" ca="1">IF(E$2=0,"",IF($A26&gt;E$3,"",INDIRECT(_xlfn.CONCAT(E$1,"!B$28"))))</f>
        <v/>
      </c>
      <c r="F26" s="35" t="str" cm="1">
        <f t="array" aca="1" ref="F26" ca="1">IF(F$2=0,"",IF($A26&gt;F$3,"",INDIRECT(_xlfn.CONCAT(F$1,"!B$28"))))</f>
        <v/>
      </c>
      <c r="G26" s="35" t="str" cm="1">
        <f t="array" aca="1" ref="G26" ca="1">IF(G$2=0,"",IF($A26&gt;G$3,"",INDIRECT(_xlfn.CONCAT(G$1,"!B$28"))))</f>
        <v/>
      </c>
      <c r="H26" s="35" t="str" cm="1">
        <f t="array" aca="1" ref="H26" ca="1">IF(H$2=0,"",IF($A26&gt;H$3,"",INDIRECT(_xlfn.CONCAT(H$1,"!B$28"))))</f>
        <v/>
      </c>
      <c r="I26" s="35" t="str" cm="1">
        <f t="array" aca="1" ref="I26" ca="1">IF(I$2=0,"",IF($A26&gt;I$3,"",INDIRECT(_xlfn.CONCAT(I$1,"!B$28"))))</f>
        <v/>
      </c>
      <c r="J26" s="35" t="str" cm="1">
        <f t="array" aca="1" ref="J26" ca="1">IF(J$2=0,"",IF($A26&gt;J$3,"",INDIRECT(_xlfn.CONCAT(J$1,"!B$28"))))</f>
        <v/>
      </c>
      <c r="K26" s="35" t="str" cm="1">
        <f t="array" aca="1" ref="K26" ca="1">IF(K$2=0,"",IF($A26&gt;K$3,"",INDIRECT(_xlfn.CONCAT(K$1,"!B$28"))))</f>
        <v/>
      </c>
      <c r="L26" s="35" cm="1">
        <f t="array" aca="1" ref="L26" ca="1">IF(L$2=0,"",IF($A26&gt;L$3,"",INDIRECT(_xlfn.CONCAT(L$1,"!B$28"))))</f>
        <v>8000</v>
      </c>
      <c r="N26" s="35">
        <f t="shared" ca="1" si="0"/>
        <v>8000</v>
      </c>
      <c r="P26" s="35">
        <f t="shared" ca="1" si="1"/>
        <v>8000</v>
      </c>
    </row>
    <row r="27" spans="1:16" x14ac:dyDescent="0.2">
      <c r="A27" s="41">
        <v>21</v>
      </c>
      <c r="B27" s="35" t="str" cm="1">
        <f t="array" aca="1" ref="B27" ca="1">IF(B$2=0,"",IF($A27&gt;B$3,"",INDIRECT(_xlfn.CONCAT(B$1,"!B$29"))))</f>
        <v/>
      </c>
      <c r="C27" s="35" t="str" cm="1">
        <f t="array" aca="1" ref="C27" ca="1">IF(C$2=0,"",IF($A27&gt;C$3,"",INDIRECT(_xlfn.CONCAT(C$1,"!B$29"))))</f>
        <v/>
      </c>
      <c r="D27" s="35" t="str" cm="1">
        <f t="array" aca="1" ref="D27" ca="1">IF(D$2=0,"",IF($A27&gt;D$3,"",INDIRECT(_xlfn.CONCAT(D$1,"!B$29"))))</f>
        <v/>
      </c>
      <c r="E27" s="35" t="str" cm="1">
        <f t="array" aca="1" ref="E27" ca="1">IF(E$2=0,"",IF($A27&gt;E$3,"",INDIRECT(_xlfn.CONCAT(E$1,"!B$29"))))</f>
        <v/>
      </c>
      <c r="F27" s="35" t="str" cm="1">
        <f t="array" aca="1" ref="F27" ca="1">IF(F$2=0,"",IF($A27&gt;F$3,"",INDIRECT(_xlfn.CONCAT(F$1,"!B$29"))))</f>
        <v/>
      </c>
      <c r="G27" s="35" t="str" cm="1">
        <f t="array" aca="1" ref="G27" ca="1">IF(G$2=0,"",IF($A27&gt;G$3,"",INDIRECT(_xlfn.CONCAT(G$1,"!B$29"))))</f>
        <v/>
      </c>
      <c r="H27" s="35" t="str" cm="1">
        <f t="array" aca="1" ref="H27" ca="1">IF(H$2=0,"",IF($A27&gt;H$3,"",INDIRECT(_xlfn.CONCAT(H$1,"!B$29"))))</f>
        <v/>
      </c>
      <c r="I27" s="35" t="str" cm="1">
        <f t="array" aca="1" ref="I27" ca="1">IF(I$2=0,"",IF($A27&gt;I$3,"",INDIRECT(_xlfn.CONCAT(I$1,"!B$29"))))</f>
        <v/>
      </c>
      <c r="J27" s="35" t="str" cm="1">
        <f t="array" aca="1" ref="J27" ca="1">IF(J$2=0,"",IF($A27&gt;J$3,"",INDIRECT(_xlfn.CONCAT(J$1,"!B$29"))))</f>
        <v/>
      </c>
      <c r="K27" s="35" t="str" cm="1">
        <f t="array" aca="1" ref="K27" ca="1">IF(K$2=0,"",IF($A27&gt;K$3,"",INDIRECT(_xlfn.CONCAT(K$1,"!B$29"))))</f>
        <v/>
      </c>
      <c r="L27" s="35" t="str" cm="1">
        <f t="array" aca="1" ref="L27" ca="1">IF(L$2=0,"",IF($A27&gt;L$3,"",INDIRECT(_xlfn.CONCAT(L$1,"!B$29"))))</f>
        <v/>
      </c>
      <c r="N27" s="35" t="str">
        <f t="shared" ca="1" si="0"/>
        <v/>
      </c>
      <c r="P27" s="35" t="str">
        <f t="shared" ca="1" si="1"/>
        <v/>
      </c>
    </row>
    <row r="28" spans="1:16" x14ac:dyDescent="0.2">
      <c r="A28" s="41">
        <v>22</v>
      </c>
      <c r="B28" s="35" t="str" cm="1">
        <f t="array" aca="1" ref="B28" ca="1">IF(B$2=0,"",IF($A28&gt;B$3,"",INDIRECT(_xlfn.CONCAT(B$1,"!B$30"))))</f>
        <v/>
      </c>
      <c r="C28" s="35" t="str" cm="1">
        <f t="array" aca="1" ref="C28" ca="1">IF(C$2=0,"",IF($A28&gt;C$3,"",INDIRECT(_xlfn.CONCAT(C$1,"!B$30"))))</f>
        <v/>
      </c>
      <c r="D28" s="35" t="str" cm="1">
        <f t="array" aca="1" ref="D28" ca="1">IF(D$2=0,"",IF($A28&gt;D$3,"",INDIRECT(_xlfn.CONCAT(D$1,"!B$30"))))</f>
        <v/>
      </c>
      <c r="E28" s="35" t="str" cm="1">
        <f t="array" aca="1" ref="E28" ca="1">IF(E$2=0,"",IF($A28&gt;E$3,"",INDIRECT(_xlfn.CONCAT(E$1,"!B$30"))))</f>
        <v/>
      </c>
      <c r="F28" s="35" t="str" cm="1">
        <f t="array" aca="1" ref="F28" ca="1">IF(F$2=0,"",IF($A28&gt;F$3,"",INDIRECT(_xlfn.CONCAT(F$1,"!B$30"))))</f>
        <v/>
      </c>
      <c r="G28" s="35" t="str" cm="1">
        <f t="array" aca="1" ref="G28" ca="1">IF(G$2=0,"",IF($A28&gt;G$3,"",INDIRECT(_xlfn.CONCAT(G$1,"!B$30"))))</f>
        <v/>
      </c>
      <c r="H28" s="35" t="str" cm="1">
        <f t="array" aca="1" ref="H28" ca="1">IF(H$2=0,"",IF($A28&gt;H$3,"",INDIRECT(_xlfn.CONCAT(H$1,"!B$30"))))</f>
        <v/>
      </c>
      <c r="I28" s="35" t="str" cm="1">
        <f t="array" aca="1" ref="I28" ca="1">IF(I$2=0,"",IF($A28&gt;I$3,"",INDIRECT(_xlfn.CONCAT(I$1,"!B$30"))))</f>
        <v/>
      </c>
      <c r="J28" s="35" t="str" cm="1">
        <f t="array" aca="1" ref="J28" ca="1">IF(J$2=0,"",IF($A28&gt;J$3,"",INDIRECT(_xlfn.CONCAT(J$1,"!B$30"))))</f>
        <v/>
      </c>
      <c r="K28" s="35" t="str" cm="1">
        <f t="array" aca="1" ref="K28" ca="1">IF(K$2=0,"",IF($A28&gt;K$3,"",INDIRECT(_xlfn.CONCAT(K$1,"!B$30"))))</f>
        <v/>
      </c>
      <c r="L28" s="35" t="str" cm="1">
        <f t="array" aca="1" ref="L28" ca="1">IF(L$2=0,"",IF($A28&gt;L$3,"",INDIRECT(_xlfn.CONCAT(L$1,"!B$30"))))</f>
        <v/>
      </c>
      <c r="N28" s="35" t="str">
        <f t="shared" ca="1" si="0"/>
        <v/>
      </c>
      <c r="P28" s="35" t="str">
        <f t="shared" ca="1" si="1"/>
        <v/>
      </c>
    </row>
    <row r="29" spans="1:16" x14ac:dyDescent="0.2">
      <c r="A29" s="41">
        <v>23</v>
      </c>
      <c r="B29" s="35" t="str" cm="1">
        <f t="array" aca="1" ref="B29" ca="1">IF(B$2=0,"",IF($A29&gt;B$3,"",INDIRECT(_xlfn.CONCAT(B$1,"!B$31"))))</f>
        <v/>
      </c>
      <c r="C29" s="35" t="str" cm="1">
        <f t="array" aca="1" ref="C29" ca="1">IF(C$2=0,"",IF($A29&gt;C$3,"",INDIRECT(_xlfn.CONCAT(C$1,"!B$31"))))</f>
        <v/>
      </c>
      <c r="D29" s="35" t="str" cm="1">
        <f t="array" aca="1" ref="D29" ca="1">IF(D$2=0,"",IF($A29&gt;D$3,"",INDIRECT(_xlfn.CONCAT(D$1,"!B$31"))))</f>
        <v/>
      </c>
      <c r="E29" s="35" t="str" cm="1">
        <f t="array" aca="1" ref="E29" ca="1">IF(E$2=0,"",IF($A29&gt;E$3,"",INDIRECT(_xlfn.CONCAT(E$1,"!B$31"))))</f>
        <v/>
      </c>
      <c r="F29" s="35" t="str" cm="1">
        <f t="array" aca="1" ref="F29" ca="1">IF(F$2=0,"",IF($A29&gt;F$3,"",INDIRECT(_xlfn.CONCAT(F$1,"!B$31"))))</f>
        <v/>
      </c>
      <c r="G29" s="35" t="str" cm="1">
        <f t="array" aca="1" ref="G29" ca="1">IF(G$2=0,"",IF($A29&gt;G$3,"",INDIRECT(_xlfn.CONCAT(G$1,"!B$31"))))</f>
        <v/>
      </c>
      <c r="H29" s="35" t="str" cm="1">
        <f t="array" aca="1" ref="H29" ca="1">IF(H$2=0,"",IF($A29&gt;H$3,"",INDIRECT(_xlfn.CONCAT(H$1,"!B$31"))))</f>
        <v/>
      </c>
      <c r="I29" s="35" t="str" cm="1">
        <f t="array" aca="1" ref="I29" ca="1">IF(I$2=0,"",IF($A29&gt;I$3,"",INDIRECT(_xlfn.CONCAT(I$1,"!B$31"))))</f>
        <v/>
      </c>
      <c r="J29" s="35" t="str" cm="1">
        <f t="array" aca="1" ref="J29" ca="1">IF(J$2=0,"",IF($A29&gt;J$3,"",INDIRECT(_xlfn.CONCAT(J$1,"!B$31"))))</f>
        <v/>
      </c>
      <c r="K29" s="35" t="str" cm="1">
        <f t="array" aca="1" ref="K29" ca="1">IF(K$2=0,"",IF($A29&gt;K$3,"",INDIRECT(_xlfn.CONCAT(K$1,"!B$31"))))</f>
        <v/>
      </c>
      <c r="L29" s="35" t="str" cm="1">
        <f t="array" aca="1" ref="L29" ca="1">IF(L$2=0,"",IF($A29&gt;L$3,"",INDIRECT(_xlfn.CONCAT(L$1,"!B$31"))))</f>
        <v/>
      </c>
      <c r="N29" s="35" t="str">
        <f t="shared" ca="1" si="0"/>
        <v/>
      </c>
      <c r="P29" s="35" t="str">
        <f t="shared" ca="1" si="1"/>
        <v/>
      </c>
    </row>
    <row r="30" spans="1:16" x14ac:dyDescent="0.2">
      <c r="A30" s="41">
        <v>24</v>
      </c>
      <c r="B30" s="35" t="str" cm="1">
        <f t="array" aca="1" ref="B30" ca="1">IF(B$2=0,"",IF($A30&gt;B$3,"",INDIRECT(_xlfn.CONCAT(B$1,"!B$32"))))</f>
        <v/>
      </c>
      <c r="C30" s="35" t="str" cm="1">
        <f t="array" aca="1" ref="C30" ca="1">IF(C$2=0,"",IF($A30&gt;C$3,"",INDIRECT(_xlfn.CONCAT(C$1,"!B$32"))))</f>
        <v/>
      </c>
      <c r="D30" s="35" t="str" cm="1">
        <f t="array" aca="1" ref="D30" ca="1">IF(D$2=0,"",IF($A30&gt;D$3,"",INDIRECT(_xlfn.CONCAT(D$1,"!B$32"))))</f>
        <v/>
      </c>
      <c r="E30" s="35" t="str" cm="1">
        <f t="array" aca="1" ref="E30" ca="1">IF(E$2=0,"",IF($A30&gt;E$3,"",INDIRECT(_xlfn.CONCAT(E$1,"!B$32"))))</f>
        <v/>
      </c>
      <c r="F30" s="35" t="str" cm="1">
        <f t="array" aca="1" ref="F30" ca="1">IF(F$2=0,"",IF($A30&gt;F$3,"",INDIRECT(_xlfn.CONCAT(F$1,"!B$32"))))</f>
        <v/>
      </c>
      <c r="G30" s="35" t="str" cm="1">
        <f t="array" aca="1" ref="G30" ca="1">IF(G$2=0,"",IF($A30&gt;G$3,"",INDIRECT(_xlfn.CONCAT(G$1,"!B$32"))))</f>
        <v/>
      </c>
      <c r="H30" s="35" t="str" cm="1">
        <f t="array" aca="1" ref="H30" ca="1">IF(H$2=0,"",IF($A30&gt;H$3,"",INDIRECT(_xlfn.CONCAT(H$1,"!B$32"))))</f>
        <v/>
      </c>
      <c r="I30" s="35" t="str" cm="1">
        <f t="array" aca="1" ref="I30" ca="1">IF(I$2=0,"",IF($A30&gt;I$3,"",INDIRECT(_xlfn.CONCAT(I$1,"!B$32"))))</f>
        <v/>
      </c>
      <c r="J30" s="35" t="str" cm="1">
        <f t="array" aca="1" ref="J30" ca="1">IF(J$2=0,"",IF($A30&gt;J$3,"",INDIRECT(_xlfn.CONCAT(J$1,"!B$32"))))</f>
        <v/>
      </c>
      <c r="K30" s="35" t="str" cm="1">
        <f t="array" aca="1" ref="K30" ca="1">IF(K$2=0,"",IF($A30&gt;K$3,"",INDIRECT(_xlfn.CONCAT(K$1,"!B$32"))))</f>
        <v/>
      </c>
      <c r="L30" s="35" t="str" cm="1">
        <f t="array" aca="1" ref="L30" ca="1">IF(L$2=0,"",IF($A30&gt;L$3,"",INDIRECT(_xlfn.CONCAT(L$1,"!B$32"))))</f>
        <v/>
      </c>
      <c r="N30" s="35" t="str">
        <f t="shared" ca="1" si="0"/>
        <v/>
      </c>
      <c r="P30" s="35" t="str">
        <f t="shared" ca="1" si="1"/>
        <v/>
      </c>
    </row>
    <row r="31" spans="1:16" x14ac:dyDescent="0.2">
      <c r="A31" s="41">
        <v>25</v>
      </c>
      <c r="B31" s="35" t="str" cm="1">
        <f t="array" aca="1" ref="B31" ca="1">IF(B$2=0,"",IF($A31&gt;B$3,"",INDIRECT(_xlfn.CONCAT(B$1,"!B$33"))))</f>
        <v/>
      </c>
      <c r="C31" s="35" t="str" cm="1">
        <f t="array" aca="1" ref="C31" ca="1">IF(C$2=0,"",IF($A31&gt;C$3,"",INDIRECT(_xlfn.CONCAT(C$1,"!B$33"))))</f>
        <v/>
      </c>
      <c r="D31" s="35" t="str" cm="1">
        <f t="array" aca="1" ref="D31" ca="1">IF(D$2=0,"",IF($A31&gt;D$3,"",INDIRECT(_xlfn.CONCAT(D$1,"!B$33"))))</f>
        <v/>
      </c>
      <c r="E31" s="35" t="str" cm="1">
        <f t="array" aca="1" ref="E31" ca="1">IF(E$2=0,"",IF($A31&gt;E$3,"",INDIRECT(_xlfn.CONCAT(E$1,"!B$33"))))</f>
        <v/>
      </c>
      <c r="F31" s="35" t="str" cm="1">
        <f t="array" aca="1" ref="F31" ca="1">IF(F$2=0,"",IF($A31&gt;F$3,"",INDIRECT(_xlfn.CONCAT(F$1,"!B$33"))))</f>
        <v/>
      </c>
      <c r="G31" s="35" t="str" cm="1">
        <f t="array" aca="1" ref="G31" ca="1">IF(G$2=0,"",IF($A31&gt;G$3,"",INDIRECT(_xlfn.CONCAT(G$1,"!B$33"))))</f>
        <v/>
      </c>
      <c r="H31" s="35" t="str" cm="1">
        <f t="array" aca="1" ref="H31" ca="1">IF(H$2=0,"",IF($A31&gt;H$3,"",INDIRECT(_xlfn.CONCAT(H$1,"!B$33"))))</f>
        <v/>
      </c>
      <c r="I31" s="35" t="str" cm="1">
        <f t="array" aca="1" ref="I31" ca="1">IF(I$2=0,"",IF($A31&gt;I$3,"",INDIRECT(_xlfn.CONCAT(I$1,"!B$33"))))</f>
        <v/>
      </c>
      <c r="J31" s="35" t="str" cm="1">
        <f t="array" aca="1" ref="J31" ca="1">IF(J$2=0,"",IF($A31&gt;J$3,"",INDIRECT(_xlfn.CONCAT(J$1,"!B$33"))))</f>
        <v/>
      </c>
      <c r="K31" s="35" t="str" cm="1">
        <f t="array" aca="1" ref="K31" ca="1">IF(K$2=0,"",IF($A31&gt;K$3,"",INDIRECT(_xlfn.CONCAT(K$1,"!B$33"))))</f>
        <v/>
      </c>
      <c r="L31" s="35" t="str" cm="1">
        <f t="array" aca="1" ref="L31" ca="1">IF(L$2=0,"",IF($A31&gt;L$3,"",INDIRECT(_xlfn.CONCAT(L$1,"!B$33"))))</f>
        <v/>
      </c>
      <c r="N31" s="35" t="str">
        <f t="shared" ca="1" si="0"/>
        <v/>
      </c>
      <c r="P31" s="35" t="str">
        <f t="shared" ca="1" si="1"/>
        <v/>
      </c>
    </row>
    <row r="33" spans="12:16" x14ac:dyDescent="0.2">
      <c r="L33" s="33" t="s">
        <v>37</v>
      </c>
      <c r="N33" s="68">
        <f ca="1">SUM($N$6:OFFSET(N6,N3,0))/(-$N$3*$N$6)</f>
        <v>0.10326530612244898</v>
      </c>
      <c r="P33" s="44">
        <f ca="1">SUM($P$6:OFFSET(P6,P3,0))/(-$P$3*$P$6)</f>
        <v>6.0109449305171335E-2</v>
      </c>
    </row>
    <row r="34" spans="12:16" x14ac:dyDescent="0.2">
      <c r="L34" s="33" t="s">
        <v>23</v>
      </c>
      <c r="N34" s="11">
        <f ca="1">IRR(N6:N31,N33)</f>
        <v>0.17848617768897501</v>
      </c>
      <c r="P34" s="45">
        <f ca="1">IRR(P6:P31,P33)</f>
        <v>0.11325796876612415</v>
      </c>
    </row>
    <row r="35" spans="12:16" x14ac:dyDescent="0.2">
      <c r="L35" s="33" t="s">
        <v>8</v>
      </c>
      <c r="P35" s="46">
        <f ca="1">(P34-RfRate)/MRP</f>
        <v>1.0465424109446304</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4D0E0-A53F-4F95-BB16-82288BDEC457}">
  <sheetPr codeName="Sheet3"/>
  <dimension ref="A1:BH49"/>
  <sheetViews>
    <sheetView showGridLines="0" zoomScaleNormal="100" workbookViewId="0"/>
  </sheetViews>
  <sheetFormatPr baseColWidth="10" defaultColWidth="8.83203125" defaultRowHeight="15" x14ac:dyDescent="0.2"/>
  <cols>
    <col min="2" max="2" width="11.83203125" bestFit="1" customWidth="1"/>
    <col min="52" max="52" width="4.83203125" customWidth="1"/>
    <col min="53" max="53" width="19.5" customWidth="1"/>
    <col min="54" max="54" width="23" bestFit="1" customWidth="1"/>
    <col min="55" max="55" width="4.6640625" customWidth="1"/>
    <col min="58" max="58" width="10" customWidth="1"/>
  </cols>
  <sheetData>
    <row r="1" spans="1:60" ht="17" thickBot="1" x14ac:dyDescent="0.25">
      <c r="E1" s="115" t="s">
        <v>12</v>
      </c>
      <c r="F1" s="115"/>
      <c r="AZ1" s="117" t="s">
        <v>57</v>
      </c>
      <c r="BA1" s="118"/>
      <c r="BB1" s="118"/>
      <c r="BC1" s="119"/>
      <c r="BD1" s="58"/>
      <c r="BE1" s="58"/>
      <c r="BF1" s="58"/>
      <c r="BG1" s="58"/>
      <c r="BH1" s="58"/>
    </row>
    <row r="2" spans="1:60" ht="16" thickBot="1" x14ac:dyDescent="0.25">
      <c r="A2" s="15" t="s">
        <v>15</v>
      </c>
      <c r="B2" s="82" t="s">
        <v>67</v>
      </c>
      <c r="E2" s="115"/>
      <c r="F2" s="115"/>
      <c r="H2" s="88" t="s">
        <v>55</v>
      </c>
      <c r="I2" s="89"/>
      <c r="J2" s="89"/>
      <c r="K2" s="90"/>
      <c r="AZ2" s="71"/>
      <c r="BA2" s="40"/>
      <c r="BB2" s="40"/>
      <c r="BC2" s="72"/>
    </row>
    <row r="3" spans="1:60" x14ac:dyDescent="0.2">
      <c r="E3" s="5" t="s">
        <v>13</v>
      </c>
      <c r="F3" s="14">
        <v>-0.1</v>
      </c>
      <c r="H3" s="71"/>
      <c r="I3" s="40"/>
      <c r="J3" s="40"/>
      <c r="K3" s="72"/>
      <c r="M3" s="101" t="s">
        <v>56</v>
      </c>
      <c r="N3" s="102"/>
      <c r="O3" s="69"/>
      <c r="AZ3" s="71"/>
      <c r="BA3" s="5" t="s">
        <v>16</v>
      </c>
      <c r="BB3" s="17">
        <f ca="1">RfRate+'NPV Profile'!B5*MRP</f>
        <v>6.8000000000000005E-2</v>
      </c>
      <c r="BC3" s="72"/>
    </row>
    <row r="4" spans="1:60" x14ac:dyDescent="0.2">
      <c r="A4" s="15" t="s">
        <v>7</v>
      </c>
      <c r="B4" s="16" cm="1">
        <f t="array" aca="1" ref="B4" ca="1">INDIRECT(_xlfn.CONCAT($B$2,"!B4"))</f>
        <v>10</v>
      </c>
      <c r="E4" s="5" t="s">
        <v>14</v>
      </c>
      <c r="F4" s="13">
        <v>0.3</v>
      </c>
      <c r="H4" s="71"/>
      <c r="I4" s="40"/>
      <c r="J4" s="40"/>
      <c r="K4" s="72"/>
      <c r="M4" s="103"/>
      <c r="N4" s="104"/>
      <c r="O4" s="70"/>
      <c r="AZ4" s="71"/>
      <c r="BA4" s="5" t="s">
        <v>17</v>
      </c>
      <c r="BB4" s="18">
        <f ca="1">$B$8+NPV(BB3,B9:OFFSET(B8,B4,0))</f>
        <v>2499.5044362277549</v>
      </c>
      <c r="BC4" s="72"/>
      <c r="BE4" s="101" t="s">
        <v>64</v>
      </c>
      <c r="BF4" s="102"/>
      <c r="BG4" s="83"/>
    </row>
    <row r="5" spans="1:60" x14ac:dyDescent="0.2">
      <c r="A5" s="15" t="s">
        <v>8</v>
      </c>
      <c r="B5" s="57" cm="1">
        <f t="array" aca="1" ref="B5" ca="1">INDIRECT(_xlfn.CONCAT($B$2,"!B5"))</f>
        <v>0.4</v>
      </c>
      <c r="H5" s="71"/>
      <c r="I5" s="40"/>
      <c r="J5" s="40"/>
      <c r="K5" s="72"/>
      <c r="AZ5" s="71"/>
      <c r="BA5" s="5" t="s">
        <v>18</v>
      </c>
      <c r="BB5" s="20">
        <v>20</v>
      </c>
      <c r="BC5" s="72"/>
      <c r="BE5" s="103"/>
      <c r="BF5" s="104"/>
      <c r="BG5" s="70"/>
    </row>
    <row r="6" spans="1:60" x14ac:dyDescent="0.2">
      <c r="H6" s="71"/>
      <c r="I6" s="40"/>
      <c r="J6" s="40"/>
      <c r="K6" s="72"/>
      <c r="AZ6" s="71"/>
      <c r="BA6" s="40"/>
      <c r="BB6" s="40"/>
      <c r="BC6" s="72"/>
    </row>
    <row r="7" spans="1:60" x14ac:dyDescent="0.2">
      <c r="A7" s="21" t="s">
        <v>9</v>
      </c>
      <c r="B7" s="21" t="s">
        <v>10</v>
      </c>
      <c r="H7" s="71"/>
      <c r="I7" s="40"/>
      <c r="J7" s="40"/>
      <c r="K7" s="72"/>
      <c r="AZ7" s="71"/>
      <c r="BA7" s="116" t="s">
        <v>19</v>
      </c>
      <c r="BB7" s="116"/>
      <c r="BC7" s="72"/>
    </row>
    <row r="8" spans="1:60" ht="16" thickBot="1" x14ac:dyDescent="0.25">
      <c r="A8" s="5">
        <v>0</v>
      </c>
      <c r="B8" s="10">
        <f ca="1">IF(A8="","",VLOOKUP(A8,INDIRECT(_xlfn.CONCAT($B$2,"!$A$8:$B$33")),2,FALSE))</f>
        <v>-30000</v>
      </c>
      <c r="H8" s="78"/>
      <c r="I8" s="76"/>
      <c r="J8" s="76"/>
      <c r="K8" s="77"/>
      <c r="AZ8" s="71"/>
      <c r="BA8" s="21" t="s">
        <v>16</v>
      </c>
      <c r="BB8" s="21" t="s">
        <v>17</v>
      </c>
      <c r="BC8" s="72"/>
    </row>
    <row r="9" spans="1:60" x14ac:dyDescent="0.2">
      <c r="A9" s="5">
        <f ca="1">IF(ROWS($A$9:A9)&gt;$B$4,"",ROWS($A$9:A9))</f>
        <v>1</v>
      </c>
      <c r="B9" s="10">
        <f t="shared" ref="B9:B33" ca="1" si="0">IF(A9="","",VLOOKUP(A9,INDIRECT(_xlfn.CONCAT($B$2,"!$A$8:$B$33")),2,FALSE))</f>
        <v>4000</v>
      </c>
      <c r="AZ9" s="71"/>
      <c r="BA9" s="22">
        <f ca="1">BB3</f>
        <v>6.8000000000000005E-2</v>
      </c>
      <c r="BB9" s="23">
        <f ca="1">BB4</f>
        <v>2499.5044362277549</v>
      </c>
      <c r="BC9" s="72"/>
    </row>
    <row r="10" spans="1:60" x14ac:dyDescent="0.2">
      <c r="A10" s="5">
        <f ca="1">IF(ROWS($A$9:A10)&gt;$B$4,"",ROWS($A$9:A10))</f>
        <v>2</v>
      </c>
      <c r="B10" s="10">
        <f t="shared" ca="1" si="0"/>
        <v>4000</v>
      </c>
      <c r="AZ10" s="71"/>
      <c r="BA10" s="24">
        <f>F3</f>
        <v>-0.1</v>
      </c>
      <c r="BB10" s="10">
        <f t="dataTable" ref="BB10:BB30" dt2D="0" dtr="0" r1="BB3" ca="1"/>
        <v>67662.65555803715</v>
      </c>
      <c r="BC10" s="72"/>
    </row>
    <row r="11" spans="1:60" x14ac:dyDescent="0.2">
      <c r="A11" s="5">
        <f ca="1">IF(ROWS($A$9:A11)&gt;$B$4,"",ROWS($A$9:A11))</f>
        <v>3</v>
      </c>
      <c r="B11" s="10">
        <f t="shared" ca="1" si="0"/>
        <v>4000</v>
      </c>
      <c r="AZ11" s="71"/>
      <c r="BA11" s="11">
        <f>BA10+($F$4-$F$3)/$BB$5</f>
        <v>-0.08</v>
      </c>
      <c r="BB11" s="10">
        <v>53521.044208372055</v>
      </c>
      <c r="BC11" s="72"/>
    </row>
    <row r="12" spans="1:60" x14ac:dyDescent="0.2">
      <c r="A12" s="5">
        <f ca="1">IF(ROWS($A$9:A12)&gt;$B$4,"",ROWS($A$9:A12))</f>
        <v>4</v>
      </c>
      <c r="B12" s="10">
        <f t="shared" ca="1" si="0"/>
        <v>4000</v>
      </c>
      <c r="AZ12" s="71"/>
      <c r="BA12" s="11">
        <f t="shared" ref="BA12:BA30" si="1">BA11+($F$4-$F$3)/$BB$5</f>
        <v>-0.06</v>
      </c>
      <c r="BB12" s="10">
        <v>41960.461894584616</v>
      </c>
      <c r="BC12" s="72"/>
    </row>
    <row r="13" spans="1:60" x14ac:dyDescent="0.2">
      <c r="A13" s="5">
        <f ca="1">IF(ROWS($A$9:A13)&gt;$B$4,"",ROWS($A$9:A13))</f>
        <v>5</v>
      </c>
      <c r="B13" s="10">
        <f t="shared" ca="1" si="0"/>
        <v>4000</v>
      </c>
      <c r="AZ13" s="71"/>
      <c r="BA13" s="11">
        <f t="shared" si="1"/>
        <v>-3.9999999999999994E-2</v>
      </c>
      <c r="BB13" s="10">
        <v>32446.898893484271</v>
      </c>
      <c r="BC13" s="72"/>
    </row>
    <row r="14" spans="1:60" x14ac:dyDescent="0.2">
      <c r="A14" s="5">
        <f ca="1">IF(ROWS($A$9:A14)&gt;$B$4,"",ROWS($A$9:A14))</f>
        <v>6</v>
      </c>
      <c r="B14" s="10">
        <f t="shared" ca="1" si="0"/>
        <v>4000</v>
      </c>
      <c r="AZ14" s="71"/>
      <c r="BA14" s="11">
        <f t="shared" si="1"/>
        <v>-1.9999999999999993E-2</v>
      </c>
      <c r="BB14" s="10">
        <v>24567.277538373506</v>
      </c>
      <c r="BC14" s="72"/>
    </row>
    <row r="15" spans="1:60" x14ac:dyDescent="0.2">
      <c r="A15" s="5">
        <f ca="1">IF(ROWS($A$9:A15)&gt;$B$4,"",ROWS($A$9:A15))</f>
        <v>7</v>
      </c>
      <c r="B15" s="10">
        <f t="shared" ca="1" si="0"/>
        <v>4000</v>
      </c>
      <c r="AZ15" s="71"/>
      <c r="BA15" s="11">
        <f t="shared" si="1"/>
        <v>0</v>
      </c>
      <c r="BB15" s="10">
        <v>18000</v>
      </c>
      <c r="BC15" s="72"/>
    </row>
    <row r="16" spans="1:60" x14ac:dyDescent="0.2">
      <c r="A16" s="5">
        <f ca="1">IF(ROWS($A$9:A16)&gt;$B$4,"",ROWS($A$9:A16))</f>
        <v>8</v>
      </c>
      <c r="B16" s="10">
        <f t="shared" ca="1" si="0"/>
        <v>4000</v>
      </c>
      <c r="AZ16" s="71"/>
      <c r="BA16" s="11">
        <f t="shared" si="1"/>
        <v>0.02</v>
      </c>
      <c r="BB16" s="10">
        <v>12493.126423970185</v>
      </c>
      <c r="BC16" s="72"/>
    </row>
    <row r="17" spans="1:55" x14ac:dyDescent="0.2">
      <c r="A17" s="5">
        <f ca="1">IF(ROWS($A$9:A17)&gt;$B$4,"",ROWS($A$9:A17))</f>
        <v>9</v>
      </c>
      <c r="B17" s="10">
        <f t="shared" ca="1" si="0"/>
        <v>4000</v>
      </c>
      <c r="AZ17" s="71"/>
      <c r="BA17" s="11">
        <f t="shared" si="1"/>
        <v>0.04</v>
      </c>
      <c r="BB17" s="10">
        <v>7848.0964680264951</v>
      </c>
      <c r="BC17" s="72"/>
    </row>
    <row r="18" spans="1:55" x14ac:dyDescent="0.2">
      <c r="A18" s="5">
        <f ca="1">IF(ROWS($A$9:A18)&gt;$B$4,"",ROWS($A$9:A18))</f>
        <v>10</v>
      </c>
      <c r="B18" s="10">
        <f t="shared" ca="1" si="0"/>
        <v>12000</v>
      </c>
      <c r="AZ18" s="71"/>
      <c r="BA18" s="11">
        <f t="shared" si="1"/>
        <v>0.06</v>
      </c>
      <c r="BB18" s="10">
        <v>3907.5064209797201</v>
      </c>
      <c r="BC18" s="72"/>
    </row>
    <row r="19" spans="1:55" x14ac:dyDescent="0.2">
      <c r="A19" s="5" t="str">
        <f ca="1">IF(ROWS($A$9:A19)&gt;$B$4,"",ROWS($A$9:A19))</f>
        <v/>
      </c>
      <c r="B19" s="10" t="str">
        <f t="shared" ca="1" si="0"/>
        <v/>
      </c>
      <c r="AZ19" s="71"/>
      <c r="BA19" s="11">
        <f t="shared" si="1"/>
        <v>0.08</v>
      </c>
      <c r="BB19" s="10">
        <v>545.87350044324194</v>
      </c>
      <c r="BC19" s="72"/>
    </row>
    <row r="20" spans="1:55" x14ac:dyDescent="0.2">
      <c r="A20" s="5" t="str">
        <f ca="1">IF(ROWS($A$9:A20)&gt;$B$4,"",ROWS($A$9:A20))</f>
        <v/>
      </c>
      <c r="B20" s="10" t="str">
        <f t="shared" ca="1" si="0"/>
        <v/>
      </c>
      <c r="AZ20" s="71"/>
      <c r="BA20" s="11">
        <f t="shared" si="1"/>
        <v>0.1</v>
      </c>
      <c r="BB20" s="10">
        <v>-2337.385261745032</v>
      </c>
      <c r="BC20" s="72"/>
    </row>
    <row r="21" spans="1:55" x14ac:dyDescent="0.2">
      <c r="A21" s="5" t="str">
        <f ca="1">IF(ROWS($A$9:A21)&gt;$B$4,"",ROWS($A$9:A21))</f>
        <v/>
      </c>
      <c r="B21" s="10" t="str">
        <f t="shared" ca="1" si="0"/>
        <v/>
      </c>
      <c r="AZ21" s="71"/>
      <c r="BA21" s="11">
        <f t="shared" si="1"/>
        <v>0.12000000000000001</v>
      </c>
      <c r="BB21" s="10">
        <v>-4823.3219936309833</v>
      </c>
      <c r="BC21" s="72"/>
    </row>
    <row r="22" spans="1:55" x14ac:dyDescent="0.2">
      <c r="A22" s="5" t="str">
        <f ca="1">IF(ROWS($A$9:A22)&gt;$B$4,"",ROWS($A$9:A22))</f>
        <v/>
      </c>
      <c r="B22" s="10" t="str">
        <f t="shared" ca="1" si="0"/>
        <v/>
      </c>
      <c r="AZ22" s="71"/>
      <c r="BA22" s="11">
        <f t="shared" si="1"/>
        <v>0.14000000000000001</v>
      </c>
      <c r="BB22" s="10">
        <v>-6977.5869386744998</v>
      </c>
      <c r="BC22" s="72"/>
    </row>
    <row r="23" spans="1:55" x14ac:dyDescent="0.2">
      <c r="A23" s="5" t="str">
        <f ca="1">IF(ROWS($A$9:A23)&gt;$B$4,"",ROWS($A$9:A23))</f>
        <v/>
      </c>
      <c r="B23" s="10" t="str">
        <f t="shared" ca="1" si="0"/>
        <v/>
      </c>
      <c r="AZ23" s="71"/>
      <c r="BA23" s="11">
        <f t="shared" si="1"/>
        <v>0.16</v>
      </c>
      <c r="BB23" s="10">
        <v>-8853.621258595671</v>
      </c>
      <c r="BC23" s="72"/>
    </row>
    <row r="24" spans="1:55" x14ac:dyDescent="0.2">
      <c r="A24" s="5" t="str">
        <f ca="1">IF(ROWS($A$9:A24)&gt;$B$4,"",ROWS($A$9:A24))</f>
        <v/>
      </c>
      <c r="B24" s="10" t="str">
        <f t="shared" ca="1" si="0"/>
        <v/>
      </c>
      <c r="AZ24" s="71"/>
      <c r="BA24" s="11">
        <f t="shared" si="1"/>
        <v>0.18</v>
      </c>
      <c r="BB24" s="10">
        <v>-10495.139084993501</v>
      </c>
      <c r="BC24" s="72"/>
    </row>
    <row r="25" spans="1:55" x14ac:dyDescent="0.2">
      <c r="A25" s="5" t="str">
        <f ca="1">IF(ROWS($A$9:A25)&gt;$B$4,"",ROWS($A$9:A25))</f>
        <v/>
      </c>
      <c r="B25" s="10" t="str">
        <f t="shared" ca="1" si="0"/>
        <v/>
      </c>
      <c r="AZ25" s="71"/>
      <c r="BA25" s="11">
        <f t="shared" si="1"/>
        <v>0.19999999999999998</v>
      </c>
      <c r="BB25" s="10">
        <v>-11938.066994678149</v>
      </c>
      <c r="BC25" s="72"/>
    </row>
    <row r="26" spans="1:55" x14ac:dyDescent="0.2">
      <c r="A26" s="5" t="str">
        <f ca="1">IF(ROWS($A$9:A26)&gt;$B$4,"",ROWS($A$9:A26))</f>
        <v/>
      </c>
      <c r="B26" s="10" t="str">
        <f t="shared" ca="1" si="0"/>
        <v/>
      </c>
      <c r="AZ26" s="71"/>
      <c r="BA26" s="11">
        <f t="shared" si="1"/>
        <v>0.21999999999999997</v>
      </c>
      <c r="BB26" s="10">
        <v>-13212.067094900016</v>
      </c>
      <c r="BC26" s="72"/>
    </row>
    <row r="27" spans="1:55" x14ac:dyDescent="0.2">
      <c r="A27" s="5" t="str">
        <f ca="1">IF(ROWS($A$9:A27)&gt;$B$4,"",ROWS($A$9:A27))</f>
        <v/>
      </c>
      <c r="B27" s="10" t="str">
        <f t="shared" ca="1" si="0"/>
        <v/>
      </c>
      <c r="AZ27" s="71"/>
      <c r="BA27" s="11">
        <f t="shared" si="1"/>
        <v>0.23999999999999996</v>
      </c>
      <c r="BB27" s="10">
        <v>-14341.738916710639</v>
      </c>
      <c r="BC27" s="72"/>
    </row>
    <row r="28" spans="1:55" x14ac:dyDescent="0.2">
      <c r="A28" s="5" t="str">
        <f ca="1">IF(ROWS($A$9:A28)&gt;$B$4,"",ROWS($A$9:A28))</f>
        <v/>
      </c>
      <c r="B28" s="10" t="str">
        <f t="shared" ca="1" si="0"/>
        <v/>
      </c>
      <c r="AZ28" s="71"/>
      <c r="BA28" s="11">
        <f t="shared" si="1"/>
        <v>0.25999999999999995</v>
      </c>
      <c r="BB28" s="10">
        <v>-15347.572316481739</v>
      </c>
      <c r="BC28" s="72"/>
    </row>
    <row r="29" spans="1:55" x14ac:dyDescent="0.2">
      <c r="A29" s="5" t="str">
        <f ca="1">IF(ROWS($A$9:A29)&gt;$B$4,"",ROWS($A$9:A29))</f>
        <v/>
      </c>
      <c r="B29" s="10" t="str">
        <f ca="1">IF(A29="","",VLOOKUP(A29,INDIRECT(_xlfn.CONCAT($B$2,"!$A$8:$B$33")),2,FALSE))</f>
        <v/>
      </c>
      <c r="AZ29" s="71"/>
      <c r="BA29" s="11">
        <f t="shared" si="1"/>
        <v>0.27999999999999997</v>
      </c>
      <c r="BB29" s="10">
        <v>-16246.706423988417</v>
      </c>
      <c r="BC29" s="72"/>
    </row>
    <row r="30" spans="1:55" ht="15" customHeight="1" x14ac:dyDescent="0.2">
      <c r="A30" s="5" t="str">
        <f ca="1">IF(ROWS($A$9:A30)&gt;$B$4,"",ROWS($A$9:A30))</f>
        <v/>
      </c>
      <c r="B30" s="10" t="str">
        <f t="shared" ca="1" si="0"/>
        <v/>
      </c>
      <c r="AZ30" s="71"/>
      <c r="BA30" s="11">
        <f t="shared" si="1"/>
        <v>0.3</v>
      </c>
      <c r="BB30" s="10">
        <v>-17053.536801527502</v>
      </c>
      <c r="BC30" s="72"/>
    </row>
    <row r="31" spans="1:55" x14ac:dyDescent="0.2">
      <c r="A31" s="5" t="str">
        <f ca="1">IF(ROWS($A$9:A31)&gt;$B$4,"",ROWS($A$9:A31))</f>
        <v/>
      </c>
      <c r="B31" s="10" t="str">
        <f t="shared" ca="1" si="0"/>
        <v/>
      </c>
      <c r="AZ31" s="71"/>
      <c r="BA31" s="40"/>
      <c r="BB31" s="40"/>
      <c r="BC31" s="72"/>
    </row>
    <row r="32" spans="1:55" x14ac:dyDescent="0.2">
      <c r="A32" s="5" t="str">
        <f ca="1">IF(ROWS($A$9:A32)&gt;$B$4,"",ROWS($A$9:A32))</f>
        <v/>
      </c>
      <c r="B32" s="10" t="str">
        <f t="shared" ca="1" si="0"/>
        <v/>
      </c>
      <c r="AZ32" s="71"/>
      <c r="BA32" s="40"/>
      <c r="BB32" s="40"/>
      <c r="BC32" s="72"/>
    </row>
    <row r="33" spans="1:55" x14ac:dyDescent="0.2">
      <c r="A33" s="5" t="str">
        <f ca="1">IF(ROWS($A$9:A33)&gt;$B$4,"",ROWS($A$9:A33))</f>
        <v/>
      </c>
      <c r="B33" s="10" t="str">
        <f t="shared" ca="1" si="0"/>
        <v/>
      </c>
      <c r="AZ33" s="71"/>
      <c r="BA33" s="116" t="s">
        <v>20</v>
      </c>
      <c r="BB33" s="116"/>
      <c r="BC33" s="72"/>
    </row>
    <row r="34" spans="1:55" x14ac:dyDescent="0.2">
      <c r="AZ34" s="71"/>
      <c r="BA34" s="21" t="s">
        <v>16</v>
      </c>
      <c r="BB34" s="21" t="s">
        <v>17</v>
      </c>
      <c r="BC34" s="72"/>
    </row>
    <row r="35" spans="1:55" x14ac:dyDescent="0.2">
      <c r="AZ35" s="71"/>
      <c r="BA35" s="9">
        <f ca="1">BA36</f>
        <v>6.8000000000000005E-2</v>
      </c>
      <c r="BB35" s="10">
        <v>0</v>
      </c>
      <c r="BC35" s="72"/>
    </row>
    <row r="36" spans="1:55" x14ac:dyDescent="0.2">
      <c r="AZ36" s="71"/>
      <c r="BA36" s="9">
        <f ca="1">BA9</f>
        <v>6.8000000000000005E-2</v>
      </c>
      <c r="BB36" s="10">
        <f ca="1">BB9</f>
        <v>2499.5044362277549</v>
      </c>
      <c r="BC36" s="72"/>
    </row>
    <row r="37" spans="1:55" x14ac:dyDescent="0.2">
      <c r="AZ37" s="71"/>
      <c r="BA37" s="9">
        <v>0</v>
      </c>
      <c r="BB37" s="10">
        <f ca="1">BB36</f>
        <v>2499.5044362277549</v>
      </c>
      <c r="BC37" s="72"/>
    </row>
    <row r="38" spans="1:55" x14ac:dyDescent="0.2">
      <c r="AZ38" s="71"/>
      <c r="BA38" s="40"/>
      <c r="BB38" s="40"/>
      <c r="BC38" s="72"/>
    </row>
    <row r="39" spans="1:55" x14ac:dyDescent="0.2">
      <c r="AZ39" s="71"/>
      <c r="BA39" s="21" t="s">
        <v>61</v>
      </c>
      <c r="BB39" s="36" t="str">
        <f>CONCATENATE("NPV Profile for ",B2)</f>
        <v>NPV Profile for ProjectC</v>
      </c>
      <c r="BC39" s="72"/>
    </row>
    <row r="40" spans="1:55" ht="16" thickBot="1" x14ac:dyDescent="0.25">
      <c r="AZ40" s="78"/>
      <c r="BA40" s="76"/>
      <c r="BB40" s="76"/>
      <c r="BC40" s="77"/>
    </row>
    <row r="48" spans="1:55" x14ac:dyDescent="0.2">
      <c r="BA48" s="19"/>
    </row>
    <row r="49" spans="53:53" x14ac:dyDescent="0.2">
      <c r="BA49" s="19"/>
    </row>
  </sheetData>
  <mergeCells count="7">
    <mergeCell ref="M3:N4"/>
    <mergeCell ref="BE4:BF5"/>
    <mergeCell ref="E1:F2"/>
    <mergeCell ref="BA7:BB7"/>
    <mergeCell ref="BA33:BB33"/>
    <mergeCell ref="AZ1:BC1"/>
    <mergeCell ref="H2:K2"/>
  </mergeCells>
  <conditionalFormatting sqref="A8:B33">
    <cfRule type="expression" dxfId="27" priority="1">
      <formula>$A8=""</formula>
    </cfRule>
  </conditionalFormatting>
  <pageMargins left="0.7" right="0.7" top="0.75" bottom="0.75" header="0.3" footer="0.3"/>
  <pageSetup orientation="portrait" horizontalDpi="300" verticalDpi="300"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8438" r:id="rId5" name="Button 6">
              <controlPr defaultSize="0" print="0" autoFill="0" autoPict="0" macro="[0]!GoToSummary">
                <anchor moveWithCells="1" sizeWithCells="1">
                  <from>
                    <xdr:col>7</xdr:col>
                    <xdr:colOff>393700</xdr:colOff>
                    <xdr:row>2</xdr:row>
                    <xdr:rowOff>139700</xdr:rowOff>
                  </from>
                  <to>
                    <xdr:col>10</xdr:col>
                    <xdr:colOff>292100</xdr:colOff>
                    <xdr:row>4</xdr:row>
                    <xdr:rowOff>127000</xdr:rowOff>
                  </to>
                </anchor>
              </controlPr>
            </control>
          </mc:Choice>
        </mc:AlternateContent>
        <mc:AlternateContent xmlns:mc="http://schemas.openxmlformats.org/markup-compatibility/2006">
          <mc:Choice Requires="x14">
            <control shapeId="18440" r:id="rId6" name="Button 8">
              <controlPr defaultSize="0" print="0" autoFill="0" autoPict="0" macro="[0]!GoToSelectedProjectFromNPVProfile">
                <anchor moveWithCells="1" sizeWithCells="1">
                  <from>
                    <xdr:col>7</xdr:col>
                    <xdr:colOff>381000</xdr:colOff>
                    <xdr:row>5</xdr:row>
                    <xdr:rowOff>50800</xdr:rowOff>
                  </from>
                  <to>
                    <xdr:col>10</xdr:col>
                    <xdr:colOff>279400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B02770-8BFB-4599-AD16-443C747CFF21}">
          <x14:formula1>
            <xm:f>Summary!$A$15:$A$26</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BD085-F580-4A15-AF1F-1B6B78B10E22}">
  <sheetPr codeName="Sheet16"/>
  <dimension ref="A1:BH34"/>
  <sheetViews>
    <sheetView showGridLines="0" zoomScaleNormal="100" workbookViewId="0"/>
  </sheetViews>
  <sheetFormatPr baseColWidth="10" defaultColWidth="8.83203125" defaultRowHeight="15" x14ac:dyDescent="0.2"/>
  <cols>
    <col min="2" max="2" width="9.1640625" bestFit="1" customWidth="1"/>
    <col min="4" max="5" width="17.5" customWidth="1"/>
    <col min="10" max="10" width="11.83203125" bestFit="1" customWidth="1"/>
    <col min="53" max="53" width="10.1640625" customWidth="1"/>
    <col min="54" max="54" width="4.6640625" customWidth="1"/>
    <col min="56" max="56" width="9.33203125" bestFit="1" customWidth="1"/>
    <col min="57" max="57" width="12.5" customWidth="1"/>
    <col min="58" max="58" width="14.33203125" customWidth="1"/>
    <col min="59" max="59" width="14" customWidth="1"/>
    <col min="60" max="60" width="4.6640625" customWidth="1"/>
  </cols>
  <sheetData>
    <row r="1" spans="1:60" ht="15.75" customHeight="1" x14ac:dyDescent="0.2">
      <c r="BB1" s="120" t="s">
        <v>58</v>
      </c>
      <c r="BC1" s="121"/>
      <c r="BD1" s="121"/>
      <c r="BE1" s="121"/>
      <c r="BF1" s="121"/>
      <c r="BG1" s="121"/>
      <c r="BH1" s="122"/>
    </row>
    <row r="2" spans="1:60" ht="16" thickBot="1" x14ac:dyDescent="0.25">
      <c r="B2" s="128" t="s">
        <v>63</v>
      </c>
      <c r="C2" s="128"/>
      <c r="D2" s="128"/>
      <c r="E2" s="128"/>
      <c r="F2" s="128"/>
      <c r="BB2" s="123"/>
      <c r="BC2" s="124"/>
      <c r="BD2" s="124"/>
      <c r="BE2" s="124"/>
      <c r="BF2" s="124"/>
      <c r="BG2" s="124"/>
      <c r="BH2" s="125"/>
    </row>
    <row r="3" spans="1:60" ht="15" customHeight="1" x14ac:dyDescent="0.2">
      <c r="BB3" s="71"/>
      <c r="BC3" s="40"/>
      <c r="BD3" s="40"/>
      <c r="BE3" s="40"/>
      <c r="BF3" s="40"/>
      <c r="BG3" s="40"/>
      <c r="BH3" s="72"/>
    </row>
    <row r="4" spans="1:60" x14ac:dyDescent="0.2">
      <c r="A4" s="5" t="s">
        <v>7</v>
      </c>
      <c r="B4" s="52">
        <f ca="1">ProjectPortfolio!N3</f>
        <v>20</v>
      </c>
      <c r="D4" s="126" t="s">
        <v>3</v>
      </c>
      <c r="E4" s="126"/>
      <c r="F4" s="9">
        <f>RfRate+ProjectA!B5*MRP</f>
        <v>7.5000000000000011E-2</v>
      </c>
      <c r="BB4" s="71"/>
      <c r="BC4" s="40"/>
      <c r="BD4" s="40"/>
      <c r="BE4" s="40"/>
      <c r="BF4" s="40"/>
      <c r="BG4" s="40"/>
      <c r="BH4" s="72"/>
    </row>
    <row r="5" spans="1:60" x14ac:dyDescent="0.2">
      <c r="A5" s="5" t="s">
        <v>8</v>
      </c>
      <c r="B5" s="53">
        <f ca="1">ProjectPortfolio!P35</f>
        <v>1.0465424109446304</v>
      </c>
      <c r="D5" s="126" t="s">
        <v>4</v>
      </c>
      <c r="E5" s="126"/>
      <c r="F5" s="10">
        <f ca="1">$B$8+NPV($F$4,B9:OFFSET(B8,B4,0))</f>
        <v>184854.11943582713</v>
      </c>
      <c r="BB5" s="71"/>
      <c r="BC5" s="40"/>
      <c r="BD5" s="40"/>
      <c r="BE5" s="40"/>
      <c r="BF5" s="40"/>
      <c r="BG5" s="40"/>
      <c r="BH5" s="72"/>
    </row>
    <row r="6" spans="1:60" x14ac:dyDescent="0.2">
      <c r="D6" s="126" t="s">
        <v>5</v>
      </c>
      <c r="E6" s="126"/>
      <c r="F6" s="11">
        <f ca="1">SUM($B$8:OFFSET(B8,B4,0))/(-$B$8*$B$4)</f>
        <v>0.10326530612244898</v>
      </c>
      <c r="BB6" s="71"/>
      <c r="BC6" s="127" t="s">
        <v>49</v>
      </c>
      <c r="BD6" s="127"/>
      <c r="BE6" s="127"/>
      <c r="BF6" s="116" t="s">
        <v>51</v>
      </c>
      <c r="BG6" s="116"/>
      <c r="BH6" s="72"/>
    </row>
    <row r="7" spans="1:60" x14ac:dyDescent="0.2">
      <c r="A7" s="4" t="s">
        <v>9</v>
      </c>
      <c r="B7" s="4" t="s">
        <v>10</v>
      </c>
      <c r="D7" s="126" t="s">
        <v>6</v>
      </c>
      <c r="E7" s="126"/>
      <c r="F7" s="11">
        <f ca="1">IFERROR(IRR(B8:OFFSET(B8,B4,0),F6),"No IRR")</f>
        <v>0.17848617768897501</v>
      </c>
      <c r="BB7" s="71"/>
      <c r="BC7" s="4" t="s">
        <v>9</v>
      </c>
      <c r="BD7" s="4" t="s">
        <v>10</v>
      </c>
      <c r="BE7" s="4" t="s">
        <v>47</v>
      </c>
      <c r="BF7" s="4" t="s">
        <v>52</v>
      </c>
      <c r="BG7" s="4" t="s">
        <v>47</v>
      </c>
      <c r="BH7" s="72"/>
    </row>
    <row r="8" spans="1:60" x14ac:dyDescent="0.2">
      <c r="A8" s="5">
        <v>0</v>
      </c>
      <c r="B8" s="54">
        <f ca="1">ProjectPortfolio!N6</f>
        <v>-245000</v>
      </c>
      <c r="D8" s="126" t="s">
        <v>48</v>
      </c>
      <c r="E8" s="126"/>
      <c r="F8" s="16">
        <f ca="1">IF(OFFSET(BE8,B4,0,1,1)&lt;0,"NP",COUNT(BE9:BE33))</f>
        <v>6</v>
      </c>
      <c r="BB8" s="71"/>
      <c r="BC8" s="15">
        <f>A8</f>
        <v>0</v>
      </c>
      <c r="BD8" s="10">
        <f ca="1">B8</f>
        <v>-245000</v>
      </c>
      <c r="BE8" s="10">
        <f ca="1">BD8</f>
        <v>-245000</v>
      </c>
      <c r="BF8" s="10">
        <f ca="1">BD8</f>
        <v>-245000</v>
      </c>
      <c r="BG8" s="10">
        <f ca="1">BF8</f>
        <v>-245000</v>
      </c>
      <c r="BH8" s="72"/>
    </row>
    <row r="9" spans="1:60" x14ac:dyDescent="0.2">
      <c r="A9" s="5">
        <f ca="1">IF(ROWS($A$9:A9)&gt;$B$4,"",ROWS($A$9:A9))</f>
        <v>1</v>
      </c>
      <c r="B9" s="54">
        <f ca="1">ProjectPortfolio!N7</f>
        <v>37000</v>
      </c>
      <c r="D9" s="126" t="s">
        <v>51</v>
      </c>
      <c r="E9" s="126"/>
      <c r="F9" s="16">
        <f ca="1">IF(OFFSET(BG8,B4,0,1,1)&lt;0,"NP",COUNT(BG9:BG33))</f>
        <v>7</v>
      </c>
      <c r="BB9" s="71"/>
      <c r="BC9" s="15">
        <f ca="1">A9</f>
        <v>1</v>
      </c>
      <c r="BD9" s="10">
        <f ca="1">IF(A9="","",B9)</f>
        <v>37000</v>
      </c>
      <c r="BE9" s="10">
        <f ca="1">IF(BC9="","",IF(BE8&gt;=0,"",BD9+BE8))</f>
        <v>-208000</v>
      </c>
      <c r="BF9" s="60">
        <f ca="1">IF(A9="","",BD9/(1+$F$4)^BC9)</f>
        <v>34418.604651162794</v>
      </c>
      <c r="BG9" s="10">
        <f ca="1">IF(BC9="","",IF(BG8&gt;=0,"",BF9+BG8))</f>
        <v>-210581.39534883719</v>
      </c>
      <c r="BH9" s="72"/>
    </row>
    <row r="10" spans="1:60" x14ac:dyDescent="0.2">
      <c r="A10" s="5">
        <f ca="1">IF(ROWS($A$9:A10)&gt;$B$4,"",ROWS($A$9:A10))</f>
        <v>2</v>
      </c>
      <c r="B10" s="54">
        <f ca="1">ProjectPortfolio!N8</f>
        <v>41000</v>
      </c>
      <c r="BB10" s="71"/>
      <c r="BC10" s="15">
        <f t="shared" ref="BC10:BC28" ca="1" si="0">A10</f>
        <v>2</v>
      </c>
      <c r="BD10" s="10">
        <f t="shared" ref="BD10:BD33" ca="1" si="1">IF(A10="","",B10)</f>
        <v>41000</v>
      </c>
      <c r="BE10" s="10">
        <f t="shared" ref="BE10:BE33" ca="1" si="2">IF(BC10="","",IF(BE9&gt;=0,"",BD10+BE9))</f>
        <v>-167000</v>
      </c>
      <c r="BF10" s="60">
        <f t="shared" ref="BF10:BF33" ca="1" si="3">IF(A10="","",BD10/(1+$F$4)^BC10)</f>
        <v>35478.637101135755</v>
      </c>
      <c r="BG10" s="10">
        <f t="shared" ref="BG10:BG33" ca="1" si="4">IF(BC10="","",IF(BG9&gt;=0,"",BF10+BG9))</f>
        <v>-175102.75824770145</v>
      </c>
      <c r="BH10" s="72"/>
    </row>
    <row r="11" spans="1:60" ht="16" thickBot="1" x14ac:dyDescent="0.25">
      <c r="A11" s="5">
        <f ca="1">IF(ROWS($A$9:A11)&gt;$B$4,"",ROWS($A$9:A11))</f>
        <v>3</v>
      </c>
      <c r="B11" s="54">
        <f ca="1">ProjectPortfolio!N9</f>
        <v>76000</v>
      </c>
      <c r="BB11" s="71"/>
      <c r="BC11" s="15">
        <f t="shared" ca="1" si="0"/>
        <v>3</v>
      </c>
      <c r="BD11" s="10">
        <f t="shared" ca="1" si="1"/>
        <v>76000</v>
      </c>
      <c r="BE11" s="10">
        <f t="shared" ca="1" si="2"/>
        <v>-91000</v>
      </c>
      <c r="BF11" s="60">
        <f t="shared" ca="1" si="3"/>
        <v>61177.003282729827</v>
      </c>
      <c r="BG11" s="10">
        <f t="shared" ca="1" si="4"/>
        <v>-113925.75496497162</v>
      </c>
      <c r="BH11" s="72"/>
    </row>
    <row r="12" spans="1:60" ht="16" thickBot="1" x14ac:dyDescent="0.25">
      <c r="A12" s="5">
        <f ca="1">IF(ROWS($A$9:A12)&gt;$B$4,"",ROWS($A$9:A12))</f>
        <v>4</v>
      </c>
      <c r="B12" s="54">
        <f ca="1">ProjectPortfolio!N10</f>
        <v>67000</v>
      </c>
      <c r="D12" s="88" t="s">
        <v>62</v>
      </c>
      <c r="E12" s="90"/>
      <c r="BB12" s="71"/>
      <c r="BC12" s="15">
        <f t="shared" ca="1" si="0"/>
        <v>4</v>
      </c>
      <c r="BD12" s="10">
        <f t="shared" ca="1" si="1"/>
        <v>67000</v>
      </c>
      <c r="BE12" s="10">
        <f t="shared" ca="1" si="2"/>
        <v>-24000</v>
      </c>
      <c r="BF12" s="60">
        <f t="shared" ca="1" si="3"/>
        <v>50169.635495017115</v>
      </c>
      <c r="BG12" s="10">
        <f t="shared" ca="1" si="4"/>
        <v>-63756.119469954509</v>
      </c>
      <c r="BH12" s="72"/>
    </row>
    <row r="13" spans="1:60" x14ac:dyDescent="0.2">
      <c r="A13" s="5">
        <f ca="1">IF(ROWS($A$9:A13)&gt;$B$4,"",ROWS($A$9:A13))</f>
        <v>5</v>
      </c>
      <c r="B13" s="54">
        <f ca="1">ProjectPortfolio!N11</f>
        <v>2000</v>
      </c>
      <c r="D13" s="71"/>
      <c r="E13" s="72"/>
      <c r="BB13" s="71"/>
      <c r="BC13" s="15">
        <f t="shared" ca="1" si="0"/>
        <v>5</v>
      </c>
      <c r="BD13" s="10">
        <f t="shared" ca="1" si="1"/>
        <v>2000</v>
      </c>
      <c r="BE13" s="10">
        <f t="shared" ca="1" si="2"/>
        <v>-22000</v>
      </c>
      <c r="BF13" s="60">
        <f t="shared" ca="1" si="3"/>
        <v>1393.1172647002322</v>
      </c>
      <c r="BG13" s="10">
        <f t="shared" ca="1" si="4"/>
        <v>-62363.002205254277</v>
      </c>
      <c r="BH13" s="72"/>
    </row>
    <row r="14" spans="1:60" x14ac:dyDescent="0.2">
      <c r="A14" s="5">
        <f ca="1">IF(ROWS($A$9:A14)&gt;$B$4,"",ROWS($A$9:A14))</f>
        <v>6</v>
      </c>
      <c r="B14" s="54">
        <f ca="1">ProjectPortfolio!N12</f>
        <v>62000</v>
      </c>
      <c r="D14" s="71"/>
      <c r="E14" s="72"/>
      <c r="BB14" s="71"/>
      <c r="BC14" s="15">
        <f t="shared" ca="1" si="0"/>
        <v>6</v>
      </c>
      <c r="BD14" s="10">
        <f t="shared" ca="1" si="1"/>
        <v>62000</v>
      </c>
      <c r="BE14" s="10">
        <f t="shared" ca="1" si="2"/>
        <v>40000</v>
      </c>
      <c r="BF14" s="79">
        <f t="shared" ca="1" si="3"/>
        <v>40173.614144843916</v>
      </c>
      <c r="BG14" s="10">
        <f t="shared" ca="1" si="4"/>
        <v>-22189.388060410362</v>
      </c>
      <c r="BH14" s="72"/>
    </row>
    <row r="15" spans="1:60" x14ac:dyDescent="0.2">
      <c r="A15" s="5">
        <f ca="1">IF(ROWS($A$9:A15)&gt;$B$4,"",ROWS($A$9:A15))</f>
        <v>7</v>
      </c>
      <c r="B15" s="54">
        <f ca="1">ProjectPortfolio!N13</f>
        <v>47000</v>
      </c>
      <c r="D15" s="71"/>
      <c r="E15" s="72"/>
      <c r="BB15" s="71"/>
      <c r="BC15" s="15">
        <f t="shared" ca="1" si="0"/>
        <v>7</v>
      </c>
      <c r="BD15" s="10">
        <f t="shared" ca="1" si="1"/>
        <v>47000</v>
      </c>
      <c r="BE15" s="10" t="str">
        <f t="shared" ca="1" si="2"/>
        <v/>
      </c>
      <c r="BF15" s="79">
        <f t="shared" ca="1" si="3"/>
        <v>28329.480342200506</v>
      </c>
      <c r="BG15" s="10">
        <f t="shared" ca="1" si="4"/>
        <v>6140.0922817901446</v>
      </c>
      <c r="BH15" s="72"/>
    </row>
    <row r="16" spans="1:60" x14ac:dyDescent="0.2">
      <c r="A16" s="5">
        <f ca="1">IF(ROWS($A$9:A16)&gt;$B$4,"",ROWS($A$9:A16))</f>
        <v>8</v>
      </c>
      <c r="B16" s="54">
        <f ca="1">ProjectPortfolio!N14</f>
        <v>48000</v>
      </c>
      <c r="D16" s="71"/>
      <c r="E16" s="72"/>
      <c r="BB16" s="71"/>
      <c r="BC16" s="15">
        <f t="shared" ca="1" si="0"/>
        <v>8</v>
      </c>
      <c r="BD16" s="10">
        <f t="shared" ca="1" si="1"/>
        <v>48000</v>
      </c>
      <c r="BE16" s="10" t="str">
        <f t="shared" ca="1" si="2"/>
        <v/>
      </c>
      <c r="BF16" s="79">
        <f t="shared" ca="1" si="3"/>
        <v>26913.707202882226</v>
      </c>
      <c r="BG16" s="10" t="str">
        <f t="shared" ca="1" si="4"/>
        <v/>
      </c>
      <c r="BH16" s="72"/>
    </row>
    <row r="17" spans="1:60" x14ac:dyDescent="0.2">
      <c r="A17" s="5">
        <f ca="1">IF(ROWS($A$9:A17)&gt;$B$4,"",ROWS($A$9:A17))</f>
        <v>9</v>
      </c>
      <c r="B17" s="54">
        <f ca="1">ProjectPortfolio!N15</f>
        <v>48000</v>
      </c>
      <c r="D17" s="71"/>
      <c r="E17" s="72"/>
      <c r="BB17" s="71"/>
      <c r="BC17" s="15">
        <f t="shared" ca="1" si="0"/>
        <v>9</v>
      </c>
      <c r="BD17" s="10">
        <f t="shared" ca="1" si="1"/>
        <v>48000</v>
      </c>
      <c r="BE17" s="10" t="str">
        <f t="shared" ca="1" si="2"/>
        <v/>
      </c>
      <c r="BF17" s="79">
        <f t="shared" ca="1" si="3"/>
        <v>25036.00670035556</v>
      </c>
      <c r="BG17" s="10" t="str">
        <f t="shared" ca="1" si="4"/>
        <v/>
      </c>
      <c r="BH17" s="72"/>
    </row>
    <row r="18" spans="1:60" ht="16" thickBot="1" x14ac:dyDescent="0.25">
      <c r="A18" s="5">
        <f ca="1">IF(ROWS($A$9:A18)&gt;$B$4,"",ROWS($A$9:A18))</f>
        <v>10</v>
      </c>
      <c r="B18" s="54">
        <f ca="1">ProjectPortfolio!N16</f>
        <v>48000</v>
      </c>
      <c r="D18" s="78"/>
      <c r="E18" s="77"/>
      <c r="BB18" s="71"/>
      <c r="BC18" s="15">
        <f t="shared" ca="1" si="0"/>
        <v>10</v>
      </c>
      <c r="BD18" s="10">
        <f t="shared" ca="1" si="1"/>
        <v>48000</v>
      </c>
      <c r="BE18" s="10" t="str">
        <f t="shared" ca="1" si="2"/>
        <v/>
      </c>
      <c r="BF18" s="79">
        <f t="shared" ca="1" si="3"/>
        <v>23289.308558470293</v>
      </c>
      <c r="BG18" s="10" t="str">
        <f t="shared" ca="1" si="4"/>
        <v/>
      </c>
      <c r="BH18" s="72"/>
    </row>
    <row r="19" spans="1:60" x14ac:dyDescent="0.2">
      <c r="A19" s="5">
        <f ca="1">IF(ROWS($A$9:A19)&gt;$B$4,"",ROWS($A$9:A19))</f>
        <v>11</v>
      </c>
      <c r="B19" s="54">
        <f ca="1">ProjectPortfolio!N17</f>
        <v>48000</v>
      </c>
      <c r="BB19" s="71"/>
      <c r="BC19" s="15">
        <f t="shared" ca="1" si="0"/>
        <v>11</v>
      </c>
      <c r="BD19" s="10">
        <f t="shared" ca="1" si="1"/>
        <v>48000</v>
      </c>
      <c r="BE19" s="10" t="str">
        <f t="shared" ca="1" si="2"/>
        <v/>
      </c>
      <c r="BF19" s="79">
        <f t="shared" ca="1" si="3"/>
        <v>21664.47307764678</v>
      </c>
      <c r="BG19" s="10" t="str">
        <f t="shared" ca="1" si="4"/>
        <v/>
      </c>
      <c r="BH19" s="72"/>
    </row>
    <row r="20" spans="1:60" x14ac:dyDescent="0.2">
      <c r="A20" s="5">
        <f ca="1">IF(ROWS($A$9:A20)&gt;$B$4,"",ROWS($A$9:A20))</f>
        <v>12</v>
      </c>
      <c r="B20" s="54">
        <f ca="1">ProjectPortfolio!N18</f>
        <v>48000</v>
      </c>
      <c r="BB20" s="71"/>
      <c r="BC20" s="15">
        <f t="shared" ca="1" si="0"/>
        <v>12</v>
      </c>
      <c r="BD20" s="10">
        <f t="shared" ca="1" si="1"/>
        <v>48000</v>
      </c>
      <c r="BE20" s="10" t="str">
        <f t="shared" ca="1" si="2"/>
        <v/>
      </c>
      <c r="BF20" s="79">
        <f t="shared" ca="1" si="3"/>
        <v>20152.998211764447</v>
      </c>
      <c r="BG20" s="10" t="str">
        <f t="shared" ca="1" si="4"/>
        <v/>
      </c>
      <c r="BH20" s="72"/>
    </row>
    <row r="21" spans="1:60" x14ac:dyDescent="0.2">
      <c r="A21" s="5">
        <f ca="1">IF(ROWS($A$9:A21)&gt;$B$4,"",ROWS($A$9:A21))</f>
        <v>13</v>
      </c>
      <c r="B21" s="54">
        <f ca="1">ProjectPortfolio!N19</f>
        <v>48000</v>
      </c>
      <c r="BB21" s="71"/>
      <c r="BC21" s="15">
        <f t="shared" ca="1" si="0"/>
        <v>13</v>
      </c>
      <c r="BD21" s="10">
        <f t="shared" ca="1" si="1"/>
        <v>48000</v>
      </c>
      <c r="BE21" s="10" t="str">
        <f t="shared" ca="1" si="2"/>
        <v/>
      </c>
      <c r="BF21" s="79">
        <f t="shared" ca="1" si="3"/>
        <v>18746.975080711112</v>
      </c>
      <c r="BG21" s="10" t="str">
        <f t="shared" ca="1" si="4"/>
        <v/>
      </c>
      <c r="BH21" s="72"/>
    </row>
    <row r="22" spans="1:60" x14ac:dyDescent="0.2">
      <c r="A22" s="5">
        <f ca="1">IF(ROWS($A$9:A22)&gt;$B$4,"",ROWS($A$9:A22))</f>
        <v>14</v>
      </c>
      <c r="B22" s="54">
        <f ca="1">ProjectPortfolio!N20</f>
        <v>48000</v>
      </c>
      <c r="BB22" s="71"/>
      <c r="BC22" s="15">
        <f t="shared" ca="1" si="0"/>
        <v>14</v>
      </c>
      <c r="BD22" s="10">
        <f t="shared" ca="1" si="1"/>
        <v>48000</v>
      </c>
      <c r="BE22" s="10" t="str">
        <f t="shared" ca="1" si="2"/>
        <v/>
      </c>
      <c r="BF22" s="79">
        <f t="shared" ca="1" si="3"/>
        <v>17439.046586708013</v>
      </c>
      <c r="BG22" s="10" t="str">
        <f t="shared" ca="1" si="4"/>
        <v/>
      </c>
      <c r="BH22" s="72"/>
    </row>
    <row r="23" spans="1:60" x14ac:dyDescent="0.2">
      <c r="A23" s="5">
        <f ca="1">IF(ROWS($A$9:A23)&gt;$B$4,"",ROWS($A$9:A23))</f>
        <v>15</v>
      </c>
      <c r="B23" s="54">
        <f ca="1">ProjectPortfolio!N21</f>
        <v>43000</v>
      </c>
      <c r="BB23" s="71"/>
      <c r="BC23" s="15">
        <f t="shared" ca="1" si="0"/>
        <v>15</v>
      </c>
      <c r="BD23" s="10">
        <f t="shared" ca="1" si="1"/>
        <v>43000</v>
      </c>
      <c r="BE23" s="10" t="str">
        <f t="shared" ca="1" si="2"/>
        <v/>
      </c>
      <c r="BF23" s="79">
        <f t="shared" ca="1" si="3"/>
        <v>14532.538822256678</v>
      </c>
      <c r="BG23" s="10" t="str">
        <f t="shared" ca="1" si="4"/>
        <v/>
      </c>
      <c r="BH23" s="72"/>
    </row>
    <row r="24" spans="1:60" x14ac:dyDescent="0.2">
      <c r="A24" s="5">
        <f ca="1">IF(ROWS($A$9:A24)&gt;$B$4,"",ROWS($A$9:A24))</f>
        <v>16</v>
      </c>
      <c r="B24" s="54">
        <f ca="1">ProjectPortfolio!N22</f>
        <v>8000</v>
      </c>
      <c r="BB24" s="71"/>
      <c r="BC24" s="15">
        <f t="shared" ca="1" si="0"/>
        <v>16</v>
      </c>
      <c r="BD24" s="10">
        <f t="shared" ca="1" si="1"/>
        <v>8000</v>
      </c>
      <c r="BE24" s="10" t="str">
        <f t="shared" ca="1" si="2"/>
        <v/>
      </c>
      <c r="BF24" s="79">
        <f t="shared" ca="1" si="3"/>
        <v>2515.0959562585922</v>
      </c>
      <c r="BG24" s="10" t="str">
        <f t="shared" ca="1" si="4"/>
        <v/>
      </c>
      <c r="BH24" s="72"/>
    </row>
    <row r="25" spans="1:60" x14ac:dyDescent="0.2">
      <c r="A25" s="5">
        <f ca="1">IF(ROWS($A$9:A25)&gt;$B$4,"",ROWS($A$9:A25))</f>
        <v>17</v>
      </c>
      <c r="B25" s="54">
        <f ca="1">ProjectPortfolio!N23</f>
        <v>8000</v>
      </c>
      <c r="BB25" s="71"/>
      <c r="BC25" s="15">
        <f t="shared" ca="1" si="0"/>
        <v>17</v>
      </c>
      <c r="BD25" s="10">
        <f t="shared" ca="1" si="1"/>
        <v>8000</v>
      </c>
      <c r="BE25" s="10" t="str">
        <f t="shared" ca="1" si="2"/>
        <v/>
      </c>
      <c r="BF25" s="79">
        <f t="shared" ca="1" si="3"/>
        <v>2339.6241453568305</v>
      </c>
      <c r="BG25" s="10" t="str">
        <f t="shared" ca="1" si="4"/>
        <v/>
      </c>
      <c r="BH25" s="72"/>
    </row>
    <row r="26" spans="1:60" x14ac:dyDescent="0.2">
      <c r="A26" s="5">
        <f ca="1">IF(ROWS($A$9:A26)&gt;$B$4,"",ROWS($A$9:A26))</f>
        <v>18</v>
      </c>
      <c r="B26" s="54">
        <f ca="1">ProjectPortfolio!N24</f>
        <v>8000</v>
      </c>
      <c r="BB26" s="71"/>
      <c r="BC26" s="15">
        <f t="shared" ca="1" si="0"/>
        <v>18</v>
      </c>
      <c r="BD26" s="10">
        <f t="shared" ca="1" si="1"/>
        <v>8000</v>
      </c>
      <c r="BE26" s="10" t="str">
        <f t="shared" ca="1" si="2"/>
        <v/>
      </c>
      <c r="BF26" s="79">
        <f t="shared" ca="1" si="3"/>
        <v>2176.3945538203075</v>
      </c>
      <c r="BG26" s="10" t="str">
        <f t="shared" ca="1" si="4"/>
        <v/>
      </c>
      <c r="BH26" s="72"/>
    </row>
    <row r="27" spans="1:60" x14ac:dyDescent="0.2">
      <c r="A27" s="5">
        <f ca="1">IF(ROWS($A$9:A27)&gt;$B$4,"",ROWS($A$9:A27))</f>
        <v>19</v>
      </c>
      <c r="B27" s="54">
        <f ca="1">ProjectPortfolio!N25</f>
        <v>8000</v>
      </c>
      <c r="BB27" s="71"/>
      <c r="BC27" s="15">
        <f t="shared" ca="1" si="0"/>
        <v>19</v>
      </c>
      <c r="BD27" s="10">
        <f t="shared" ca="1" si="1"/>
        <v>8000</v>
      </c>
      <c r="BE27" s="10" t="str">
        <f t="shared" ca="1" si="2"/>
        <v/>
      </c>
      <c r="BF27" s="79">
        <f t="shared" ca="1" si="3"/>
        <v>2024.5530733212161</v>
      </c>
      <c r="BG27" s="10" t="str">
        <f t="shared" ca="1" si="4"/>
        <v/>
      </c>
      <c r="BH27" s="72"/>
    </row>
    <row r="28" spans="1:60" x14ac:dyDescent="0.2">
      <c r="A28" s="5">
        <f ca="1">IF(ROWS($A$9:A28)&gt;$B$4,"",ROWS($A$9:A28))</f>
        <v>20</v>
      </c>
      <c r="B28" s="54">
        <f ca="1">ProjectPortfolio!N26</f>
        <v>8000</v>
      </c>
      <c r="BB28" s="71"/>
      <c r="BC28" s="15">
        <f t="shared" ca="1" si="0"/>
        <v>20</v>
      </c>
      <c r="BD28" s="10">
        <f t="shared" ca="1" si="1"/>
        <v>8000</v>
      </c>
      <c r="BE28" s="10" t="str">
        <f t="shared" ca="1" si="2"/>
        <v/>
      </c>
      <c r="BF28" s="79">
        <f t="shared" ca="1" si="3"/>
        <v>1883.3051844848524</v>
      </c>
      <c r="BG28" s="10" t="str">
        <f t="shared" ca="1" si="4"/>
        <v/>
      </c>
      <c r="BH28" s="72"/>
    </row>
    <row r="29" spans="1:60" x14ac:dyDescent="0.2">
      <c r="A29" s="5" t="str">
        <f ca="1">IF(ROWS($A$9:A29)&gt;$B$4,"",ROWS($A$9:A29))</f>
        <v/>
      </c>
      <c r="B29" s="54" t="str">
        <f ca="1">ProjectPortfolio!N27</f>
        <v/>
      </c>
      <c r="BB29" s="71"/>
      <c r="BC29" s="15" t="str">
        <f ca="1">A29</f>
        <v/>
      </c>
      <c r="BD29" s="10" t="str">
        <f t="shared" ca="1" si="1"/>
        <v/>
      </c>
      <c r="BE29" s="10" t="str">
        <f t="shared" ca="1" si="2"/>
        <v/>
      </c>
      <c r="BF29" s="79" t="str">
        <f t="shared" ca="1" si="3"/>
        <v/>
      </c>
      <c r="BG29" s="10" t="str">
        <f t="shared" ca="1" si="4"/>
        <v/>
      </c>
      <c r="BH29" s="72"/>
    </row>
    <row r="30" spans="1:60" x14ac:dyDescent="0.2">
      <c r="A30" s="5" t="str">
        <f ca="1">IF(ROWS($A$9:A30)&gt;$B$4,"",ROWS($A$9:A30))</f>
        <v/>
      </c>
      <c r="B30" s="54" t="str">
        <f ca="1">ProjectPortfolio!N28</f>
        <v/>
      </c>
      <c r="BB30" s="71"/>
      <c r="BC30" s="15" t="str">
        <f t="shared" ref="BC30:BC33" ca="1" si="5">A30</f>
        <v/>
      </c>
      <c r="BD30" s="10" t="str">
        <f t="shared" ca="1" si="1"/>
        <v/>
      </c>
      <c r="BE30" s="10" t="str">
        <f t="shared" ca="1" si="2"/>
        <v/>
      </c>
      <c r="BF30" s="79" t="str">
        <f t="shared" ca="1" si="3"/>
        <v/>
      </c>
      <c r="BG30" s="10" t="str">
        <f t="shared" ca="1" si="4"/>
        <v/>
      </c>
      <c r="BH30" s="72"/>
    </row>
    <row r="31" spans="1:60" x14ac:dyDescent="0.2">
      <c r="A31" s="5" t="str">
        <f ca="1">IF(ROWS($A$9:A31)&gt;$B$4,"",ROWS($A$9:A31))</f>
        <v/>
      </c>
      <c r="B31" s="54" t="str">
        <f ca="1">ProjectPortfolio!N29</f>
        <v/>
      </c>
      <c r="BB31" s="71"/>
      <c r="BC31" s="15" t="str">
        <f t="shared" ca="1" si="5"/>
        <v/>
      </c>
      <c r="BD31" s="10" t="str">
        <f t="shared" ca="1" si="1"/>
        <v/>
      </c>
      <c r="BE31" s="10" t="str">
        <f t="shared" ca="1" si="2"/>
        <v/>
      </c>
      <c r="BF31" s="79" t="str">
        <f t="shared" ca="1" si="3"/>
        <v/>
      </c>
      <c r="BG31" s="10" t="str">
        <f t="shared" ca="1" si="4"/>
        <v/>
      </c>
      <c r="BH31" s="72"/>
    </row>
    <row r="32" spans="1:60" x14ac:dyDescent="0.2">
      <c r="A32" s="5" t="str">
        <f ca="1">IF(ROWS($A$9:A32)&gt;$B$4,"",ROWS($A$9:A32))</f>
        <v/>
      </c>
      <c r="B32" s="54" t="str">
        <f ca="1">ProjectPortfolio!N30</f>
        <v/>
      </c>
      <c r="BB32" s="71"/>
      <c r="BC32" s="15" t="str">
        <f t="shared" ca="1" si="5"/>
        <v/>
      </c>
      <c r="BD32" s="10" t="str">
        <f t="shared" ca="1" si="1"/>
        <v/>
      </c>
      <c r="BE32" s="10" t="str">
        <f t="shared" ca="1" si="2"/>
        <v/>
      </c>
      <c r="BF32" s="79" t="str">
        <f t="shared" ca="1" si="3"/>
        <v/>
      </c>
      <c r="BG32" s="10" t="str">
        <f t="shared" ca="1" si="4"/>
        <v/>
      </c>
      <c r="BH32" s="72"/>
    </row>
    <row r="33" spans="1:60" x14ac:dyDescent="0.2">
      <c r="A33" s="5" t="str">
        <f ca="1">IF(ROWS($A$9:A33)&gt;$B$4,"",ROWS($A$9:A33))</f>
        <v/>
      </c>
      <c r="B33" s="54" t="str">
        <f ca="1">ProjectPortfolio!N31</f>
        <v/>
      </c>
      <c r="BB33" s="71"/>
      <c r="BC33" s="15" t="str">
        <f t="shared" ca="1" si="5"/>
        <v/>
      </c>
      <c r="BD33" s="10" t="str">
        <f t="shared" ca="1" si="1"/>
        <v/>
      </c>
      <c r="BE33" s="10" t="str">
        <f t="shared" ca="1" si="2"/>
        <v/>
      </c>
      <c r="BF33" s="79" t="str">
        <f t="shared" ca="1" si="3"/>
        <v/>
      </c>
      <c r="BG33" s="10" t="str">
        <f t="shared" ca="1" si="4"/>
        <v/>
      </c>
      <c r="BH33" s="72"/>
    </row>
    <row r="34" spans="1:60" ht="16" thickBot="1" x14ac:dyDescent="0.25">
      <c r="BB34" s="78"/>
      <c r="BC34" s="76"/>
      <c r="BD34" s="76"/>
      <c r="BE34" s="76"/>
      <c r="BF34" s="76"/>
      <c r="BG34" s="76"/>
      <c r="BH34" s="77"/>
    </row>
  </sheetData>
  <mergeCells count="11">
    <mergeCell ref="D12:E12"/>
    <mergeCell ref="BB1:BH2"/>
    <mergeCell ref="D9:E9"/>
    <mergeCell ref="BF6:BG6"/>
    <mergeCell ref="BC6:BE6"/>
    <mergeCell ref="D8:E8"/>
    <mergeCell ref="B2:F2"/>
    <mergeCell ref="D4:E4"/>
    <mergeCell ref="D5:E5"/>
    <mergeCell ref="D6:E6"/>
    <mergeCell ref="D7:E7"/>
  </mergeCells>
  <conditionalFormatting sqref="A8:B8 A9:A30 B9:B33">
    <cfRule type="expression" dxfId="26" priority="6">
      <formula>$A8=""</formula>
    </cfRule>
  </conditionalFormatting>
  <conditionalFormatting sqref="BC8:BE33">
    <cfRule type="expression" dxfId="25" priority="5">
      <formula>$BC8=""</formula>
    </cfRule>
  </conditionalFormatting>
  <conditionalFormatting sqref="A31:A33">
    <cfRule type="expression" dxfId="24" priority="3">
      <formula>$A31=""</formula>
    </cfRule>
  </conditionalFormatting>
  <conditionalFormatting sqref="BG8">
    <cfRule type="expression" dxfId="23" priority="2">
      <formula>$BC8=""</formula>
    </cfRule>
  </conditionalFormatting>
  <conditionalFormatting sqref="BG9:BG33">
    <cfRule type="expression" dxfId="22" priority="1">
      <formula>$BC9=""</formula>
    </cfRule>
  </conditionalFormatting>
  <dataValidations count="1">
    <dataValidation type="custom" allowBlank="1" showInputMessage="1" showErrorMessage="1" error="The Expected cashflow for year 0 should be negative" sqref="B8:B33" xr:uid="{0210CD5F-BAB9-401F-81A7-E78D11CBB6E5}">
      <formula1>B8&lt;0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3" r:id="rId3" name="Button 3">
              <controlPr defaultSize="0" print="0" autoFill="0" autoPict="0" macro="[0]!GoToSummary">
                <anchor moveWithCells="1" sizeWithCells="1">
                  <from>
                    <xdr:col>3</xdr:col>
                    <xdr:colOff>381000</xdr:colOff>
                    <xdr:row>12</xdr:row>
                    <xdr:rowOff>127000</xdr:rowOff>
                  </from>
                  <to>
                    <xdr:col>4</xdr:col>
                    <xdr:colOff>863600</xdr:colOff>
                    <xdr:row>14</xdr:row>
                    <xdr:rowOff>114300</xdr:rowOff>
                  </to>
                </anchor>
              </controlPr>
            </control>
          </mc:Choice>
        </mc:AlternateContent>
        <mc:AlternateContent xmlns:mc="http://schemas.openxmlformats.org/markup-compatibility/2006">
          <mc:Choice Requires="x14">
            <control shapeId="46084" r:id="rId4" name="Button 4">
              <controlPr defaultSize="0" print="0" autoFill="0" autoPict="0" macro="[0]!GoToNPV_Profile">
                <anchor moveWithCells="1" sizeWithCells="1">
                  <from>
                    <xdr:col>3</xdr:col>
                    <xdr:colOff>381000</xdr:colOff>
                    <xdr:row>15</xdr:row>
                    <xdr:rowOff>63500</xdr:rowOff>
                  </from>
                  <to>
                    <xdr:col>4</xdr:col>
                    <xdr:colOff>863600</xdr:colOff>
                    <xdr:row>17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9462-87F2-413A-B30C-52CC54ADBA5C}">
  <sheetPr codeName="Sheet4">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2" max="52" width="4.6640625" customWidth="1"/>
    <col min="53" max="53" width="11" bestFit="1" customWidth="1"/>
    <col min="57" max="57" width="12.83203125" customWidth="1"/>
    <col min="58" max="58" width="15.33203125" customWidth="1"/>
    <col min="59" max="59" width="12.6640625" bestFit="1" customWidth="1"/>
    <col min="60" max="60" width="4.6640625" customWidth="1"/>
  </cols>
  <sheetData>
    <row r="1" spans="1:60" ht="15" customHeight="1" x14ac:dyDescent="0.2">
      <c r="AZ1" s="120" t="s">
        <v>60</v>
      </c>
      <c r="BA1" s="121"/>
      <c r="BB1" s="121"/>
      <c r="BC1" s="121"/>
      <c r="BD1" s="121"/>
      <c r="BE1" s="121"/>
      <c r="BF1" s="121"/>
      <c r="BG1" s="121"/>
      <c r="BH1" s="122"/>
    </row>
    <row r="2" spans="1:60" ht="15.75" customHeight="1"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D3" s="101" t="s">
        <v>64</v>
      </c>
      <c r="BE3" s="102"/>
      <c r="BF3" s="83"/>
      <c r="BG3" s="40"/>
      <c r="BH3" s="72"/>
    </row>
    <row r="4" spans="1:60" x14ac:dyDescent="0.2">
      <c r="A4" s="5" t="s">
        <v>7</v>
      </c>
      <c r="B4" s="7">
        <v>6</v>
      </c>
      <c r="D4" s="126" t="s">
        <v>3</v>
      </c>
      <c r="E4" s="126"/>
      <c r="F4" s="9">
        <f>RfRate+ProjectA!B5*MRP</f>
        <v>7.5000000000000011E-2</v>
      </c>
      <c r="I4" s="103"/>
      <c r="J4" s="104"/>
      <c r="K4" s="70"/>
      <c r="AZ4" s="71"/>
      <c r="BA4" s="4" t="s">
        <v>11</v>
      </c>
      <c r="BB4" s="40"/>
      <c r="BD4" s="103"/>
      <c r="BE4" s="104"/>
      <c r="BF4" s="70"/>
      <c r="BG4" s="40"/>
      <c r="BH4" s="72"/>
    </row>
    <row r="5" spans="1:60" x14ac:dyDescent="0.2">
      <c r="A5" s="5" t="s">
        <v>8</v>
      </c>
      <c r="B5" s="6">
        <v>0.5</v>
      </c>
      <c r="D5" s="126" t="s">
        <v>4</v>
      </c>
      <c r="E5" s="126"/>
      <c r="F5" s="10">
        <f ca="1">$B$8+NPV($F$4,B9:OFFSET(B8,B4,0))</f>
        <v>12203.43010708797</v>
      </c>
      <c r="AZ5" s="71"/>
      <c r="BA5" s="49">
        <v>3</v>
      </c>
      <c r="BB5" s="40"/>
      <c r="BC5" s="40"/>
      <c r="BD5" s="40"/>
      <c r="BE5" s="40"/>
      <c r="BF5" s="40"/>
      <c r="BG5" s="40"/>
      <c r="BH5" s="72"/>
    </row>
    <row r="6" spans="1:60" x14ac:dyDescent="0.2">
      <c r="D6" s="126" t="s">
        <v>5</v>
      </c>
      <c r="E6" s="126"/>
      <c r="F6" s="11">
        <f ca="1">SUM($B$8:OFFSET(B8,B4,0))/(-$B$8*$B$4)</f>
        <v>0.35</v>
      </c>
      <c r="AZ6" s="71"/>
      <c r="BA6" s="49">
        <v>4</v>
      </c>
      <c r="BB6" s="40"/>
      <c r="BC6" s="129" t="s">
        <v>49</v>
      </c>
      <c r="BD6" s="129"/>
      <c r="BE6" s="129"/>
      <c r="BF6" s="129" t="s">
        <v>51</v>
      </c>
      <c r="BG6" s="129"/>
      <c r="BH6" s="72"/>
    </row>
    <row r="7" spans="1:60" x14ac:dyDescent="0.2">
      <c r="A7" s="4" t="s">
        <v>9</v>
      </c>
      <c r="B7" s="4" t="s">
        <v>10</v>
      </c>
      <c r="D7" s="126" t="s">
        <v>6</v>
      </c>
      <c r="E7" s="126"/>
      <c r="F7" s="11">
        <f ca="1">IFERROR(IRR(B8:OFFSET(B8,B4,0),F6),"No IRR")</f>
        <v>0.29808043800210049</v>
      </c>
      <c r="AZ7" s="71"/>
      <c r="BA7" s="49">
        <v>5</v>
      </c>
      <c r="BB7" s="40"/>
      <c r="BC7" s="4" t="s">
        <v>9</v>
      </c>
      <c r="BD7" s="4" t="s">
        <v>10</v>
      </c>
      <c r="BE7" s="4" t="s">
        <v>47</v>
      </c>
      <c r="BF7" s="4" t="s">
        <v>52</v>
      </c>
      <c r="BG7" s="4" t="s">
        <v>47</v>
      </c>
      <c r="BH7" s="72"/>
    </row>
    <row r="8" spans="1:60" x14ac:dyDescent="0.2">
      <c r="A8" s="5">
        <v>0</v>
      </c>
      <c r="B8" s="8">
        <v>-10000</v>
      </c>
      <c r="D8" s="126" t="s">
        <v>48</v>
      </c>
      <c r="E8" s="126"/>
      <c r="F8" s="16">
        <f ca="1">IF(OFFSET(BE8,B4,0,1,1)&lt;0,"NP",COUNT(BE9:BE33))</f>
        <v>4</v>
      </c>
      <c r="AZ8" s="71"/>
      <c r="BA8" s="49">
        <v>6</v>
      </c>
      <c r="BB8" s="40"/>
      <c r="BC8" s="15">
        <f>A8</f>
        <v>0</v>
      </c>
      <c r="BD8" s="10">
        <f>IF(A8="","",B8)</f>
        <v>-10000</v>
      </c>
      <c r="BE8" s="10">
        <f>BD8</f>
        <v>-10000</v>
      </c>
      <c r="BF8" s="10">
        <f>BD8</f>
        <v>-10000</v>
      </c>
      <c r="BG8" s="10">
        <f>BF8</f>
        <v>-10000</v>
      </c>
      <c r="BH8" s="72"/>
    </row>
    <row r="9" spans="1:60" x14ac:dyDescent="0.2">
      <c r="A9" s="5">
        <f>IF(ROWS($A$9:A9)&gt;$B$4,"",ROWS($A$9:A9))</f>
        <v>1</v>
      </c>
      <c r="B9" s="8">
        <v>2000</v>
      </c>
      <c r="D9" s="126" t="s">
        <v>51</v>
      </c>
      <c r="E9" s="126"/>
      <c r="F9" s="16">
        <f ca="1">IF(OFFSET(BG8,B4,0,1,1)&lt;0,"NP",COUNT(BG9:BG33))</f>
        <v>5</v>
      </c>
      <c r="AZ9" s="71"/>
      <c r="BA9" s="49">
        <v>7</v>
      </c>
      <c r="BB9" s="40"/>
      <c r="BC9" s="15">
        <f t="shared" ref="BC9:BC33" si="0">A9</f>
        <v>1</v>
      </c>
      <c r="BD9" s="10">
        <f t="shared" ref="BD9:BD33" si="1">IF(A9="","",B9)</f>
        <v>2000</v>
      </c>
      <c r="BE9" s="10">
        <f>IF(BC9="","",IF(BE8&gt;=0,"",BD9+BE8))</f>
        <v>-8000</v>
      </c>
      <c r="BF9" s="60">
        <f>IF(A9="","",BD9/(1+$F$4)^BC9)</f>
        <v>1860.4651162790699</v>
      </c>
      <c r="BG9" s="10">
        <f>IF(BC9="","",IF(BG8&gt;=0,"",BF9+BG8))</f>
        <v>-8139.5348837209303</v>
      </c>
      <c r="BH9" s="72"/>
    </row>
    <row r="10" spans="1:60" ht="16" thickBot="1" x14ac:dyDescent="0.25">
      <c r="A10" s="5">
        <f>IF(ROWS($A$9:A10)&gt;$B$4,"",ROWS($A$9:A10))</f>
        <v>2</v>
      </c>
      <c r="B10" s="8">
        <v>2000</v>
      </c>
      <c r="AZ10" s="71"/>
      <c r="BA10" s="49">
        <v>8</v>
      </c>
      <c r="BB10" s="40"/>
      <c r="BC10" s="15">
        <f t="shared" si="0"/>
        <v>2</v>
      </c>
      <c r="BD10" s="10">
        <f t="shared" si="1"/>
        <v>2000</v>
      </c>
      <c r="BE10" s="10">
        <f t="shared" ref="BE10:BE33" si="2">IF(BC10="","",IF(BE9&gt;=0,"",BD10+BE9))</f>
        <v>-6000</v>
      </c>
      <c r="BF10" s="60">
        <f t="shared" ref="BF10:BF33" si="3">IF(A10="","",BD10/(1+$F$4)^BC10)</f>
        <v>1730.6652244456463</v>
      </c>
      <c r="BG10" s="10">
        <f t="shared" ref="BG10:BG33" si="4">IF(BC10="","",IF(BG9&gt;=0,"",BF10+BG9))</f>
        <v>-6408.869659275284</v>
      </c>
      <c r="BH10" s="72"/>
    </row>
    <row r="11" spans="1:60" ht="16" thickBot="1" x14ac:dyDescent="0.25">
      <c r="A11" s="5">
        <f>IF(ROWS($A$9:A11)&gt;$B$4,"",ROWS($A$9:A11))</f>
        <v>3</v>
      </c>
      <c r="B11" s="8">
        <v>3000</v>
      </c>
      <c r="D11" s="88" t="s">
        <v>62</v>
      </c>
      <c r="E11" s="90"/>
      <c r="AZ11" s="71"/>
      <c r="BA11" s="49">
        <v>9</v>
      </c>
      <c r="BB11" s="40"/>
      <c r="BC11" s="15">
        <f t="shared" si="0"/>
        <v>3</v>
      </c>
      <c r="BD11" s="10">
        <f t="shared" si="1"/>
        <v>3000</v>
      </c>
      <c r="BE11" s="10">
        <f t="shared" si="2"/>
        <v>-3000</v>
      </c>
      <c r="BF11" s="60">
        <f t="shared" si="3"/>
        <v>2414.8817085288092</v>
      </c>
      <c r="BG11" s="10">
        <f t="shared" si="4"/>
        <v>-3993.9879507464748</v>
      </c>
      <c r="BH11" s="72"/>
    </row>
    <row r="12" spans="1:60" x14ac:dyDescent="0.2">
      <c r="A12" s="5">
        <f>IF(ROWS($A$9:A12)&gt;$B$4,"",ROWS($A$9:A12))</f>
        <v>4</v>
      </c>
      <c r="B12" s="8">
        <v>4000</v>
      </c>
      <c r="D12" s="71"/>
      <c r="E12" s="72"/>
      <c r="AZ12" s="71"/>
      <c r="BA12" s="49">
        <v>10</v>
      </c>
      <c r="BB12" s="40"/>
      <c r="BC12" s="15">
        <f t="shared" si="0"/>
        <v>4</v>
      </c>
      <c r="BD12" s="10">
        <f t="shared" si="1"/>
        <v>4000</v>
      </c>
      <c r="BE12" s="10">
        <f t="shared" si="2"/>
        <v>1000</v>
      </c>
      <c r="BF12" s="60">
        <f t="shared" si="3"/>
        <v>2995.2021191054996</v>
      </c>
      <c r="BG12" s="10">
        <f t="shared" si="4"/>
        <v>-998.78583164097518</v>
      </c>
      <c r="BH12" s="72"/>
    </row>
    <row r="13" spans="1:60" x14ac:dyDescent="0.2">
      <c r="A13" s="5">
        <f>IF(ROWS($A$9:A13)&gt;$B$4,"",ROWS($A$9:A13))</f>
        <v>5</v>
      </c>
      <c r="B13" s="8">
        <v>5000</v>
      </c>
      <c r="D13" s="71"/>
      <c r="E13" s="72"/>
      <c r="AZ13" s="71"/>
      <c r="BA13" s="49">
        <v>11</v>
      </c>
      <c r="BB13" s="40"/>
      <c r="BC13" s="15">
        <f t="shared" si="0"/>
        <v>5</v>
      </c>
      <c r="BD13" s="10">
        <f t="shared" si="1"/>
        <v>5000</v>
      </c>
      <c r="BE13" s="10" t="str">
        <f t="shared" si="2"/>
        <v/>
      </c>
      <c r="BF13" s="60">
        <f t="shared" si="3"/>
        <v>3482.793161750581</v>
      </c>
      <c r="BG13" s="10">
        <f t="shared" si="4"/>
        <v>2484.0073301096058</v>
      </c>
      <c r="BH13" s="72"/>
    </row>
    <row r="14" spans="1:60" x14ac:dyDescent="0.2">
      <c r="A14" s="5">
        <f>IF(ROWS($A$9:A14)&gt;$B$4,"",ROWS($A$9:A14))</f>
        <v>6</v>
      </c>
      <c r="B14" s="8">
        <v>15000</v>
      </c>
      <c r="D14" s="71"/>
      <c r="E14" s="72"/>
      <c r="AZ14" s="71"/>
      <c r="BA14" s="49">
        <v>12</v>
      </c>
      <c r="BB14" s="40"/>
      <c r="BC14" s="15">
        <f t="shared" si="0"/>
        <v>6</v>
      </c>
      <c r="BD14" s="10">
        <f t="shared" si="1"/>
        <v>15000</v>
      </c>
      <c r="BE14" s="10" t="str">
        <f t="shared" si="2"/>
        <v/>
      </c>
      <c r="BF14" s="60">
        <f t="shared" si="3"/>
        <v>9719.4227769783665</v>
      </c>
      <c r="BG14" s="10" t="str">
        <f t="shared" si="4"/>
        <v/>
      </c>
      <c r="BH14" s="72"/>
    </row>
    <row r="15" spans="1:60" x14ac:dyDescent="0.2">
      <c r="A15" s="5" t="str">
        <f>IF(ROWS($A$9:A15)&gt;$B$4,"",ROWS($A$9:A15))</f>
        <v/>
      </c>
      <c r="B15" s="8">
        <v>15000</v>
      </c>
      <c r="D15" s="71"/>
      <c r="E15" s="72"/>
      <c r="AZ15" s="71"/>
      <c r="BA15" s="49">
        <v>13</v>
      </c>
      <c r="BB15" s="40"/>
      <c r="BC15" s="15" t="str">
        <f t="shared" si="0"/>
        <v/>
      </c>
      <c r="BD15" s="10" t="str">
        <f t="shared" si="1"/>
        <v/>
      </c>
      <c r="BE15" s="10" t="str">
        <f t="shared" si="2"/>
        <v/>
      </c>
      <c r="BF15" s="60" t="str">
        <f t="shared" si="3"/>
        <v/>
      </c>
      <c r="BG15" s="10" t="str">
        <f t="shared" si="4"/>
        <v/>
      </c>
      <c r="BH15" s="72"/>
    </row>
    <row r="16" spans="1:60" x14ac:dyDescent="0.2">
      <c r="A16" s="5" t="str">
        <f>IF(ROWS($A$9:A16)&gt;$B$4,"",ROWS($A$9:A16))</f>
        <v/>
      </c>
      <c r="B16" s="8">
        <v>15000</v>
      </c>
      <c r="D16" s="71"/>
      <c r="E16" s="72"/>
      <c r="AZ16" s="71"/>
      <c r="BA16" s="49">
        <v>14</v>
      </c>
      <c r="BB16" s="40"/>
      <c r="BC16" s="15" t="str">
        <f t="shared" si="0"/>
        <v/>
      </c>
      <c r="BD16" s="10" t="str">
        <f t="shared" si="1"/>
        <v/>
      </c>
      <c r="BE16" s="10" t="str">
        <f t="shared" si="2"/>
        <v/>
      </c>
      <c r="BF16" s="60" t="str">
        <f t="shared" si="3"/>
        <v/>
      </c>
      <c r="BG16" s="10" t="str">
        <f t="shared" si="4"/>
        <v/>
      </c>
      <c r="BH16" s="72"/>
    </row>
    <row r="17" spans="1:60" ht="16" thickBot="1" x14ac:dyDescent="0.25">
      <c r="A17" s="5" t="str">
        <f>IF(ROWS($A$9:A17)&gt;$B$4,"",ROWS($A$9:A17))</f>
        <v/>
      </c>
      <c r="B17" s="8">
        <v>15000</v>
      </c>
      <c r="D17" s="78"/>
      <c r="E17" s="77"/>
      <c r="AZ17" s="71"/>
      <c r="BA17" s="49">
        <v>15</v>
      </c>
      <c r="BB17" s="40"/>
      <c r="BC17" s="15" t="str">
        <f t="shared" si="0"/>
        <v/>
      </c>
      <c r="BD17" s="10" t="str">
        <f t="shared" si="1"/>
        <v/>
      </c>
      <c r="BE17" s="10" t="str">
        <f t="shared" si="2"/>
        <v/>
      </c>
      <c r="BF17" s="60" t="str">
        <f t="shared" si="3"/>
        <v/>
      </c>
      <c r="BG17" s="10" t="str">
        <f t="shared" si="4"/>
        <v/>
      </c>
      <c r="BH17" s="72"/>
    </row>
    <row r="18" spans="1:60" x14ac:dyDescent="0.2">
      <c r="A18" s="5" t="str">
        <f>IF(ROWS($A$9:A18)&gt;$B$4,"",ROWS($A$9:A18))</f>
        <v/>
      </c>
      <c r="B18" s="8">
        <v>15000</v>
      </c>
      <c r="AZ18" s="71"/>
      <c r="BA18" s="49">
        <v>16</v>
      </c>
      <c r="BB18" s="40"/>
      <c r="BC18" s="15" t="str">
        <f t="shared" si="0"/>
        <v/>
      </c>
      <c r="BD18" s="10" t="str">
        <f t="shared" si="1"/>
        <v/>
      </c>
      <c r="BE18" s="10" t="str">
        <f t="shared" si="2"/>
        <v/>
      </c>
      <c r="BF18" s="60" t="str">
        <f t="shared" si="3"/>
        <v/>
      </c>
      <c r="BG18" s="10" t="str">
        <f t="shared" si="4"/>
        <v/>
      </c>
      <c r="BH18" s="72"/>
    </row>
    <row r="19" spans="1:60" x14ac:dyDescent="0.2">
      <c r="A19" s="5" t="str">
        <f>IF(ROWS($A$9:A19)&gt;$B$4,"",ROWS($A$9:A19))</f>
        <v/>
      </c>
      <c r="B19" s="8">
        <v>15000</v>
      </c>
      <c r="D19" s="12"/>
      <c r="AZ19" s="71"/>
      <c r="BA19" s="49">
        <v>17</v>
      </c>
      <c r="BB19" s="40"/>
      <c r="BC19" s="15" t="str">
        <f t="shared" si="0"/>
        <v/>
      </c>
      <c r="BD19" s="10" t="str">
        <f t="shared" si="1"/>
        <v/>
      </c>
      <c r="BE19" s="10" t="str">
        <f t="shared" si="2"/>
        <v/>
      </c>
      <c r="BF19" s="60" t="str">
        <f t="shared" si="3"/>
        <v/>
      </c>
      <c r="BG19" s="10" t="str">
        <f t="shared" si="4"/>
        <v/>
      </c>
      <c r="BH19" s="72"/>
    </row>
    <row r="20" spans="1:60" x14ac:dyDescent="0.2">
      <c r="A20" s="5" t="str">
        <f>IF(ROWS($A$9:A20)&gt;$B$4,"",ROWS($A$9:A20))</f>
        <v/>
      </c>
      <c r="B20" s="8">
        <v>15000</v>
      </c>
      <c r="AZ20" s="71"/>
      <c r="BA20" s="49">
        <v>18</v>
      </c>
      <c r="BB20" s="40"/>
      <c r="BC20" s="15" t="str">
        <f t="shared" si="0"/>
        <v/>
      </c>
      <c r="BD20" s="10" t="str">
        <f t="shared" si="1"/>
        <v/>
      </c>
      <c r="BE20" s="10" t="str">
        <f t="shared" si="2"/>
        <v/>
      </c>
      <c r="BF20" s="60" t="str">
        <f t="shared" si="3"/>
        <v/>
      </c>
      <c r="BG20" s="10" t="str">
        <f t="shared" si="4"/>
        <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80"/>
      <c r="BC29" s="15" t="str">
        <f t="shared" si="0"/>
        <v/>
      </c>
      <c r="BD29" s="10" t="str">
        <f t="shared" si="1"/>
        <v/>
      </c>
      <c r="BE29" s="10" t="str">
        <f t="shared" si="2"/>
        <v/>
      </c>
      <c r="BF29" s="60" t="str">
        <f t="shared" si="3"/>
        <v/>
      </c>
      <c r="BG29" s="10" t="str">
        <f t="shared" si="4"/>
        <v/>
      </c>
      <c r="BH29" s="81"/>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21" priority="9">
      <formula>$A8=""</formula>
    </cfRule>
  </conditionalFormatting>
  <conditionalFormatting sqref="BC8:BG33">
    <cfRule type="expression" dxfId="20" priority="1">
      <formula>$BC8=""</formula>
    </cfRule>
  </conditionalFormatting>
  <dataValidations count="4">
    <dataValidation type="list" allowBlank="1" showInputMessage="1" showErrorMessage="1" sqref="B4" xr:uid="{27D6DBAB-2852-4676-B744-0C60DCE68E0F}">
      <formula1>$BA$5:$BA$27</formula1>
    </dataValidation>
    <dataValidation type="decimal" allowBlank="1" showInputMessage="1" showErrorMessage="1" errorTitle="Beta Value Input Error" error="Please enter decimal value between 0 and 3. If you want to make changes please contact an expert " sqref="B5" xr:uid="{DBDCE834-C225-4A91-9E78-48BC51551D2A}">
      <formula1>0</formula1>
      <formula2>3</formula2>
    </dataValidation>
    <dataValidation type="custom" allowBlank="1" showInputMessage="1" showErrorMessage="1" error="The Expected cashflow for year 0 should be negative" sqref="B8" xr:uid="{AF7F36E7-F823-4E4C-8018-A2FEAD11B5D4}">
      <formula1>B8&lt;0</formula1>
    </dataValidation>
    <dataValidation type="custom" allowBlank="1" showInputMessage="1" showErrorMessage="1" error="The expected cashflow from year 1 onwards should be a number" sqref="B9:B33" xr:uid="{72D0AEEC-082E-407E-AECA-0F6D6AFA87B5}">
      <formula1>ISNUMBER(B9)</formula1>
    </dataValidation>
  </dataValidations>
  <pageMargins left="0.7" right="0.7" top="0.75" bottom="0.75" header="0.3" footer="0.3"/>
  <customProperties>
    <customPr name="DigitalSignatur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Summary">
                <anchor moveWithCells="1" sizeWithCells="1">
                  <from>
                    <xdr:col>3</xdr:col>
                    <xdr:colOff>317500</xdr:colOff>
                    <xdr:row>11</xdr:row>
                    <xdr:rowOff>152400</xdr:rowOff>
                  </from>
                  <to>
                    <xdr:col>4</xdr:col>
                    <xdr:colOff>1054100</xdr:colOff>
                    <xdr:row>13</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GoToNPV_Profile">
                <anchor moveWithCells="1" sizeWithCells="1">
                  <from>
                    <xdr:col>3</xdr:col>
                    <xdr:colOff>317500</xdr:colOff>
                    <xdr:row>14</xdr:row>
                    <xdr:rowOff>88900</xdr:rowOff>
                  </from>
                  <to>
                    <xdr:col>4</xdr:col>
                    <xdr:colOff>1054100</xdr:colOff>
                    <xdr:row>16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F6488-F63A-4565-B3F3-590BCD7CB36B}">
  <sheetPr codeName="Sheet5">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1640625" customWidth="1"/>
    <col min="58" max="58" width="15.1640625" customWidth="1"/>
    <col min="59" max="59" width="13.5" customWidth="1"/>
  </cols>
  <sheetData>
    <row r="1" spans="1:60" ht="15" customHeight="1" x14ac:dyDescent="0.2">
      <c r="AZ1" s="120" t="s">
        <v>60</v>
      </c>
      <c r="BA1" s="121"/>
      <c r="BB1" s="121"/>
      <c r="BC1" s="121"/>
      <c r="BD1" s="121"/>
      <c r="BE1" s="121"/>
      <c r="BF1" s="121"/>
      <c r="BG1" s="121"/>
      <c r="BH1" s="122"/>
    </row>
    <row r="2" spans="1:60" ht="15.75" customHeight="1"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6</v>
      </c>
      <c r="D4" s="126" t="s">
        <v>3</v>
      </c>
      <c r="E4" s="126"/>
      <c r="F4" s="9">
        <f>RfRate+ProjectB!B5*MRP</f>
        <v>9.6000000000000002E-2</v>
      </c>
      <c r="I4" s="103"/>
      <c r="J4" s="104"/>
      <c r="K4" s="70"/>
      <c r="AZ4" s="71"/>
      <c r="BA4" s="4" t="s">
        <v>11</v>
      </c>
      <c r="BB4" s="40"/>
      <c r="BC4" s="40"/>
      <c r="BD4" s="103"/>
      <c r="BE4" s="104"/>
      <c r="BF4" s="70"/>
      <c r="BG4" s="40"/>
      <c r="BH4" s="72"/>
    </row>
    <row r="5" spans="1:60" x14ac:dyDescent="0.2">
      <c r="A5" s="5" t="s">
        <v>8</v>
      </c>
      <c r="B5" s="6">
        <v>0.8</v>
      </c>
      <c r="D5" s="126" t="s">
        <v>4</v>
      </c>
      <c r="E5" s="126"/>
      <c r="F5" s="10">
        <f ca="1">$B$8+NPV($F$4,B9:OFFSET(B8,B4,0))</f>
        <v>4415.2717293983951</v>
      </c>
      <c r="AZ5" s="71"/>
      <c r="BA5" s="49">
        <v>3</v>
      </c>
      <c r="BB5" s="40"/>
      <c r="BC5" s="40"/>
      <c r="BD5" s="40"/>
      <c r="BE5" s="40"/>
      <c r="BF5" s="40"/>
      <c r="BG5" s="40"/>
      <c r="BH5" s="72"/>
    </row>
    <row r="6" spans="1:60" x14ac:dyDescent="0.2">
      <c r="D6" s="126" t="s">
        <v>5</v>
      </c>
      <c r="E6" s="126"/>
      <c r="F6" s="11">
        <f ca="1">SUM($B$8:OFFSET(B8,B4,0))/(-$B$8*$B$4)</f>
        <v>0.13333333333333333</v>
      </c>
      <c r="AZ6" s="71"/>
      <c r="BA6" s="49">
        <v>4</v>
      </c>
      <c r="BB6" s="40"/>
      <c r="BC6" s="127" t="s">
        <v>49</v>
      </c>
      <c r="BD6" s="127"/>
      <c r="BE6" s="127"/>
      <c r="BF6" s="129" t="s">
        <v>51</v>
      </c>
      <c r="BG6" s="129"/>
      <c r="BH6" s="72"/>
    </row>
    <row r="7" spans="1:60" x14ac:dyDescent="0.2">
      <c r="A7" s="4" t="s">
        <v>9</v>
      </c>
      <c r="B7" s="4" t="s">
        <v>10</v>
      </c>
      <c r="D7" s="126" t="s">
        <v>6</v>
      </c>
      <c r="E7" s="126"/>
      <c r="F7" s="11">
        <f ca="1">IFERROR(IRR(B8:OFFSET(B8,B4,0),F6),"No IRR")</f>
        <v>0.30590772933683308</v>
      </c>
      <c r="AZ7" s="71"/>
      <c r="BA7" s="49">
        <v>5</v>
      </c>
      <c r="BB7" s="40"/>
      <c r="BC7" s="4" t="s">
        <v>9</v>
      </c>
      <c r="BD7" s="4" t="s">
        <v>10</v>
      </c>
      <c r="BE7" s="4" t="s">
        <v>47</v>
      </c>
      <c r="BF7" s="4" t="s">
        <v>52</v>
      </c>
      <c r="BG7" s="4" t="s">
        <v>47</v>
      </c>
      <c r="BH7" s="72"/>
    </row>
    <row r="8" spans="1:60" x14ac:dyDescent="0.2">
      <c r="A8" s="5">
        <v>0</v>
      </c>
      <c r="B8" s="8">
        <v>-10000</v>
      </c>
      <c r="D8" s="126" t="s">
        <v>48</v>
      </c>
      <c r="E8" s="126"/>
      <c r="F8" s="16">
        <f ca="1">IF(OFFSET(BE8,B4,0,1,1)&lt;0,"NP",COUNT(BE9:BE33))</f>
        <v>2</v>
      </c>
      <c r="AZ8" s="71"/>
      <c r="BA8" s="49">
        <v>6</v>
      </c>
      <c r="BB8" s="40"/>
      <c r="BC8" s="15">
        <f>A8</f>
        <v>0</v>
      </c>
      <c r="BD8" s="10">
        <f>IF(A8="","",B8)</f>
        <v>-10000</v>
      </c>
      <c r="BE8" s="10">
        <f>BD8</f>
        <v>-10000</v>
      </c>
      <c r="BF8" s="10">
        <f>BD8</f>
        <v>-10000</v>
      </c>
      <c r="BG8" s="10">
        <f>BF8</f>
        <v>-10000</v>
      </c>
      <c r="BH8" s="72"/>
    </row>
    <row r="9" spans="1:60" x14ac:dyDescent="0.2">
      <c r="A9" s="5">
        <f>IF(ROWS($A$9:A9)&gt;$B$4,"",ROWS($A$9:A9))</f>
        <v>1</v>
      </c>
      <c r="B9" s="8">
        <v>8000</v>
      </c>
      <c r="D9" s="126" t="s">
        <v>51</v>
      </c>
      <c r="E9" s="126"/>
      <c r="F9" s="16">
        <f ca="1">IF(OFFSET(BG8,B4,0,1,1)&lt;0,"NP",COUNT(BG9:BG33))</f>
        <v>3</v>
      </c>
      <c r="AZ9" s="71"/>
      <c r="BA9" s="49">
        <v>7</v>
      </c>
      <c r="BB9" s="40"/>
      <c r="BC9" s="15">
        <f t="shared" ref="BC9:BC33" si="0">A9</f>
        <v>1</v>
      </c>
      <c r="BD9" s="10">
        <f t="shared" ref="BD9:BD33" si="1">IF(A9="","",B9)</f>
        <v>8000</v>
      </c>
      <c r="BE9" s="10">
        <f>IF(BC9="","",IF(BE8&gt;=0,"",BD9+BE8))</f>
        <v>-2000</v>
      </c>
      <c r="BF9" s="60">
        <f>IF(A9="","",BD9/(1+$F$4)^BC9)</f>
        <v>7299.2700729927001</v>
      </c>
      <c r="BG9" s="10">
        <f>IF(BC9="","",IF(BG8&gt;=0,"",BF9+BG8))</f>
        <v>-2700.7299270072999</v>
      </c>
      <c r="BH9" s="72"/>
    </row>
    <row r="10" spans="1:60" ht="16" thickBot="1" x14ac:dyDescent="0.25">
      <c r="A10" s="5">
        <f>IF(ROWS($A$9:A10)&gt;$B$4,"",ROWS($A$9:A10))</f>
        <v>2</v>
      </c>
      <c r="B10" s="8">
        <v>2000</v>
      </c>
      <c r="AZ10" s="71"/>
      <c r="BA10" s="49">
        <v>8</v>
      </c>
      <c r="BB10" s="40"/>
      <c r="BC10" s="15">
        <f t="shared" si="0"/>
        <v>2</v>
      </c>
      <c r="BD10" s="10">
        <f t="shared" si="1"/>
        <v>2000</v>
      </c>
      <c r="BE10" s="10">
        <f t="shared" ref="BE10:BE33" si="2">IF(BC10="","",IF(BE9&gt;=0,"",BD10+BE9))</f>
        <v>0</v>
      </c>
      <c r="BF10" s="60">
        <f t="shared" ref="BF10:BF33" si="3">IF(A10="","",BD10/(1+$F$4)^BC10)</f>
        <v>1664.9794874527142</v>
      </c>
      <c r="BG10" s="10">
        <f t="shared" ref="BG10:BG33" si="4">IF(BC10="","",IF(BG9&gt;=0,"",BF10+BG9))</f>
        <v>-1035.7504395545857</v>
      </c>
      <c r="BH10" s="72"/>
    </row>
    <row r="11" spans="1:60" ht="16" thickBot="1" x14ac:dyDescent="0.25">
      <c r="A11" s="5">
        <f>IF(ROWS($A$9:A11)&gt;$B$4,"",ROWS($A$9:A11))</f>
        <v>3</v>
      </c>
      <c r="B11" s="8">
        <v>3000</v>
      </c>
      <c r="D11" s="88" t="s">
        <v>55</v>
      </c>
      <c r="E11" s="90"/>
      <c r="AZ11" s="71"/>
      <c r="BA11" s="49">
        <v>9</v>
      </c>
      <c r="BB11" s="40"/>
      <c r="BC11" s="15">
        <f t="shared" si="0"/>
        <v>3</v>
      </c>
      <c r="BD11" s="10">
        <f t="shared" si="1"/>
        <v>3000</v>
      </c>
      <c r="BE11" s="10" t="str">
        <f t="shared" si="2"/>
        <v/>
      </c>
      <c r="BF11" s="60">
        <f t="shared" si="3"/>
        <v>2278.7128021706853</v>
      </c>
      <c r="BG11" s="10">
        <f t="shared" si="4"/>
        <v>1242.9623626160997</v>
      </c>
      <c r="BH11" s="72"/>
    </row>
    <row r="12" spans="1:60" x14ac:dyDescent="0.2">
      <c r="A12" s="5">
        <f>IF(ROWS($A$9:A12)&gt;$B$4,"",ROWS($A$9:A12))</f>
        <v>4</v>
      </c>
      <c r="B12" s="8">
        <v>2000</v>
      </c>
      <c r="D12" s="71"/>
      <c r="E12" s="72"/>
      <c r="AZ12" s="71"/>
      <c r="BA12" s="49">
        <v>10</v>
      </c>
      <c r="BB12" s="40"/>
      <c r="BC12" s="15">
        <f t="shared" si="0"/>
        <v>4</v>
      </c>
      <c r="BD12" s="10">
        <f t="shared" si="1"/>
        <v>2000</v>
      </c>
      <c r="BE12" s="10" t="str">
        <f t="shared" si="2"/>
        <v/>
      </c>
      <c r="BF12" s="60">
        <f t="shared" si="3"/>
        <v>1386.0783468191514</v>
      </c>
      <c r="BG12" s="10" t="str">
        <f t="shared" si="4"/>
        <v/>
      </c>
      <c r="BH12" s="72"/>
    </row>
    <row r="13" spans="1:60" x14ac:dyDescent="0.2">
      <c r="A13" s="5">
        <f>IF(ROWS($A$9:A13)&gt;$B$4,"",ROWS($A$9:A13))</f>
        <v>5</v>
      </c>
      <c r="B13" s="8">
        <v>1000</v>
      </c>
      <c r="D13" s="71"/>
      <c r="E13" s="72"/>
      <c r="AZ13" s="71"/>
      <c r="BA13" s="49">
        <v>11</v>
      </c>
      <c r="BB13" s="40"/>
      <c r="BC13" s="15">
        <f t="shared" si="0"/>
        <v>5</v>
      </c>
      <c r="BD13" s="10">
        <f t="shared" si="1"/>
        <v>1000</v>
      </c>
      <c r="BE13" s="10" t="str">
        <f t="shared" si="2"/>
        <v/>
      </c>
      <c r="BF13" s="60">
        <f t="shared" si="3"/>
        <v>632.33501223501423</v>
      </c>
      <c r="BG13" s="10" t="str">
        <f t="shared" si="4"/>
        <v/>
      </c>
      <c r="BH13" s="72"/>
    </row>
    <row r="14" spans="1:60" x14ac:dyDescent="0.2">
      <c r="A14" s="5">
        <f>IF(ROWS($A$9:A14)&gt;$B$4,"",ROWS($A$9:A14))</f>
        <v>6</v>
      </c>
      <c r="B14" s="8">
        <v>2000</v>
      </c>
      <c r="D14" s="71"/>
      <c r="E14" s="72"/>
      <c r="AZ14" s="71"/>
      <c r="BA14" s="49">
        <v>12</v>
      </c>
      <c r="BB14" s="40"/>
      <c r="BC14" s="15">
        <f t="shared" si="0"/>
        <v>6</v>
      </c>
      <c r="BD14" s="10">
        <f t="shared" si="1"/>
        <v>2000</v>
      </c>
      <c r="BE14" s="10" t="str">
        <f t="shared" si="2"/>
        <v/>
      </c>
      <c r="BF14" s="60">
        <f t="shared" si="3"/>
        <v>1153.8960077281281</v>
      </c>
      <c r="BG14" s="10" t="str">
        <f t="shared" si="4"/>
        <v/>
      </c>
      <c r="BH14" s="72"/>
    </row>
    <row r="15" spans="1:60" x14ac:dyDescent="0.2">
      <c r="A15" s="5" t="str">
        <f>IF(ROWS($A$9:A15)&gt;$B$4,"",ROWS($A$9:A15))</f>
        <v/>
      </c>
      <c r="B15" s="8">
        <v>15000</v>
      </c>
      <c r="D15" s="71"/>
      <c r="E15" s="72"/>
      <c r="AZ15" s="71"/>
      <c r="BA15" s="49">
        <v>13</v>
      </c>
      <c r="BB15" s="40"/>
      <c r="BC15" s="15" t="str">
        <f t="shared" si="0"/>
        <v/>
      </c>
      <c r="BD15" s="10" t="str">
        <f t="shared" si="1"/>
        <v/>
      </c>
      <c r="BE15" s="10" t="str">
        <f t="shared" si="2"/>
        <v/>
      </c>
      <c r="BF15" s="60" t="str">
        <f t="shared" si="3"/>
        <v/>
      </c>
      <c r="BG15" s="10" t="str">
        <f t="shared" si="4"/>
        <v/>
      </c>
      <c r="BH15" s="72"/>
    </row>
    <row r="16" spans="1:60" x14ac:dyDescent="0.2">
      <c r="A16" s="5" t="str">
        <f>IF(ROWS($A$9:A16)&gt;$B$4,"",ROWS($A$9:A16))</f>
        <v/>
      </c>
      <c r="B16" s="8">
        <v>15000</v>
      </c>
      <c r="D16" s="71"/>
      <c r="E16" s="72"/>
      <c r="AZ16" s="71"/>
      <c r="BA16" s="49">
        <v>14</v>
      </c>
      <c r="BB16" s="40"/>
      <c r="BC16" s="15" t="str">
        <f t="shared" si="0"/>
        <v/>
      </c>
      <c r="BD16" s="10" t="str">
        <f t="shared" si="1"/>
        <v/>
      </c>
      <c r="BE16" s="10" t="str">
        <f t="shared" si="2"/>
        <v/>
      </c>
      <c r="BF16" s="60" t="str">
        <f t="shared" si="3"/>
        <v/>
      </c>
      <c r="BG16" s="10" t="str">
        <f t="shared" si="4"/>
        <v/>
      </c>
      <c r="BH16" s="72"/>
    </row>
    <row r="17" spans="1:60" ht="16" thickBot="1" x14ac:dyDescent="0.25">
      <c r="A17" s="5" t="str">
        <f>IF(ROWS($A$9:A17)&gt;$B$4,"",ROWS($A$9:A17))</f>
        <v/>
      </c>
      <c r="B17" s="8">
        <v>15000</v>
      </c>
      <c r="D17" s="78"/>
      <c r="E17" s="77"/>
      <c r="AZ17" s="71"/>
      <c r="BA17" s="49">
        <v>15</v>
      </c>
      <c r="BB17" s="40"/>
      <c r="BC17" s="15" t="str">
        <f t="shared" si="0"/>
        <v/>
      </c>
      <c r="BD17" s="10" t="str">
        <f t="shared" si="1"/>
        <v/>
      </c>
      <c r="BE17" s="10" t="str">
        <f t="shared" si="2"/>
        <v/>
      </c>
      <c r="BF17" s="60" t="str">
        <f t="shared" si="3"/>
        <v/>
      </c>
      <c r="BG17" s="10" t="str">
        <f t="shared" si="4"/>
        <v/>
      </c>
      <c r="BH17" s="72"/>
    </row>
    <row r="18" spans="1:60" x14ac:dyDescent="0.2">
      <c r="A18" s="5" t="str">
        <f>IF(ROWS($A$9:A18)&gt;$B$4,"",ROWS($A$9:A18))</f>
        <v/>
      </c>
      <c r="B18" s="8">
        <v>15000</v>
      </c>
      <c r="AZ18" s="71"/>
      <c r="BA18" s="49">
        <v>16</v>
      </c>
      <c r="BB18" s="40"/>
      <c r="BC18" s="15" t="str">
        <f t="shared" si="0"/>
        <v/>
      </c>
      <c r="BD18" s="10" t="str">
        <f t="shared" si="1"/>
        <v/>
      </c>
      <c r="BE18" s="10" t="str">
        <f t="shared" si="2"/>
        <v/>
      </c>
      <c r="BF18" s="60" t="str">
        <f t="shared" si="3"/>
        <v/>
      </c>
      <c r="BG18" s="10" t="str">
        <f t="shared" si="4"/>
        <v/>
      </c>
      <c r="BH18" s="72"/>
    </row>
    <row r="19" spans="1:60" x14ac:dyDescent="0.2">
      <c r="A19" s="5" t="str">
        <f>IF(ROWS($A$9:A19)&gt;$B$4,"",ROWS($A$9:A19))</f>
        <v/>
      </c>
      <c r="B19" s="8">
        <v>15000</v>
      </c>
      <c r="D19" s="12"/>
      <c r="AZ19" s="71"/>
      <c r="BA19" s="49">
        <v>17</v>
      </c>
      <c r="BB19" s="40"/>
      <c r="BC19" s="15" t="str">
        <f t="shared" si="0"/>
        <v/>
      </c>
      <c r="BD19" s="10" t="str">
        <f t="shared" si="1"/>
        <v/>
      </c>
      <c r="BE19" s="10" t="str">
        <f t="shared" si="2"/>
        <v/>
      </c>
      <c r="BF19" s="60" t="str">
        <f t="shared" si="3"/>
        <v/>
      </c>
      <c r="BG19" s="10" t="str">
        <f t="shared" si="4"/>
        <v/>
      </c>
      <c r="BH19" s="72"/>
    </row>
    <row r="20" spans="1:60" x14ac:dyDescent="0.2">
      <c r="A20" s="5" t="str">
        <f>IF(ROWS($A$9:A20)&gt;$B$4,"",ROWS($A$9:A20))</f>
        <v/>
      </c>
      <c r="B20" s="8">
        <v>15000</v>
      </c>
      <c r="AZ20" s="71"/>
      <c r="BA20" s="49">
        <v>18</v>
      </c>
      <c r="BB20" s="40"/>
      <c r="BC20" s="15" t="str">
        <f t="shared" si="0"/>
        <v/>
      </c>
      <c r="BD20" s="10" t="str">
        <f t="shared" si="1"/>
        <v/>
      </c>
      <c r="BE20" s="10" t="str">
        <f t="shared" si="2"/>
        <v/>
      </c>
      <c r="BF20" s="60" t="str">
        <f t="shared" si="3"/>
        <v/>
      </c>
      <c r="BG20" s="10" t="str">
        <f t="shared" si="4"/>
        <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19" priority="7">
      <formula>$A8=""</formula>
    </cfRule>
  </conditionalFormatting>
  <conditionalFormatting sqref="BC8:BG33">
    <cfRule type="expression" dxfId="18" priority="1">
      <formula>$BC8=""</formula>
    </cfRule>
  </conditionalFormatting>
  <dataValidations count="4">
    <dataValidation type="custom" allowBlank="1" showInputMessage="1" showErrorMessage="1" error="The expected cashflow from year 1 onwards should be a number" sqref="B9:B33" xr:uid="{C1F71D6E-2ACD-4A69-98F5-9F3A7B32056E}">
      <formula1>ISNUMBER(B9)</formula1>
    </dataValidation>
    <dataValidation type="custom" allowBlank="1" showInputMessage="1" showErrorMessage="1" error="The Expected cashflow for year 0 should be negative" sqref="B8" xr:uid="{2432413B-988A-44B5-876D-60AF976F5E29}">
      <formula1>B8&lt;0</formula1>
    </dataValidation>
    <dataValidation type="decimal" allowBlank="1" showInputMessage="1" showErrorMessage="1" errorTitle="Beta Value Input Error" error="Please enter decimal value between 0 and 3. If you want to make changes please contact an expert " sqref="B5" xr:uid="{4852141E-C0CB-435A-9A15-1793BBBFA1F3}">
      <formula1>0</formula1>
      <formula2>3</formula2>
    </dataValidation>
    <dataValidation type="list" allowBlank="1" showInputMessage="1" showErrorMessage="1" sqref="B4" xr:uid="{371A53F6-67BC-413B-9AF1-A81B831FC4ED}">
      <formula1>$BA$5:$BA$27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GoToSummary">
                <anchor moveWithCells="1" sizeWithCells="1">
                  <from>
                    <xdr:col>3</xdr:col>
                    <xdr:colOff>355600</xdr:colOff>
                    <xdr:row>11</xdr:row>
                    <xdr:rowOff>152400</xdr:rowOff>
                  </from>
                  <to>
                    <xdr:col>4</xdr:col>
                    <xdr:colOff>1066800</xdr:colOff>
                    <xdr:row>13</xdr:row>
                    <xdr:rowOff>139700</xdr:rowOff>
                  </to>
                </anchor>
              </controlPr>
            </control>
          </mc:Choice>
        </mc:AlternateContent>
        <mc:AlternateContent xmlns:mc="http://schemas.openxmlformats.org/markup-compatibility/2006">
          <mc:Choice Requires="x14">
            <control shapeId="8194" r:id="rId4" name="Button 2">
              <controlPr defaultSize="0" print="0" autoFill="0" autoPict="0" macro="[0]!GoToNPV_Profile">
                <anchor moveWithCells="1" sizeWithCells="1">
                  <from>
                    <xdr:col>3</xdr:col>
                    <xdr:colOff>342900</xdr:colOff>
                    <xdr:row>14</xdr:row>
                    <xdr:rowOff>63500</xdr:rowOff>
                  </from>
                  <to>
                    <xdr:col>4</xdr:col>
                    <xdr:colOff>1066800</xdr:colOff>
                    <xdr:row>16</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9E248-83CA-4077-8BD5-8AF4176C21C5}">
  <sheetPr codeName="Sheet6">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83203125" bestFit="1" customWidth="1"/>
    <col min="58" max="58" width="16" bestFit="1" customWidth="1"/>
    <col min="59" max="59" width="13.83203125" bestFit="1"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10</v>
      </c>
      <c r="D4" s="126" t="s">
        <v>3</v>
      </c>
      <c r="E4" s="126"/>
      <c r="F4" s="9">
        <f>RfRate+ProjectC!B5*MRP</f>
        <v>6.8000000000000005E-2</v>
      </c>
      <c r="I4" s="103"/>
      <c r="J4" s="104"/>
      <c r="K4" s="70"/>
      <c r="AZ4" s="71"/>
      <c r="BA4" s="4" t="s">
        <v>11</v>
      </c>
      <c r="BB4" s="40"/>
      <c r="BC4" s="40"/>
      <c r="BD4" s="103"/>
      <c r="BE4" s="104"/>
      <c r="BF4" s="70"/>
      <c r="BG4" s="40"/>
      <c r="BH4" s="72"/>
    </row>
    <row r="5" spans="1:60" x14ac:dyDescent="0.2">
      <c r="A5" s="5" t="s">
        <v>8</v>
      </c>
      <c r="B5" s="6">
        <v>0.4</v>
      </c>
      <c r="D5" s="126" t="s">
        <v>4</v>
      </c>
      <c r="E5" s="126"/>
      <c r="F5" s="10">
        <f ca="1">$B$8+NPV($F$4,B9:OFFSET(B8,B4,0))</f>
        <v>2499.5044362277549</v>
      </c>
      <c r="AZ5" s="71"/>
      <c r="BA5" s="49">
        <v>3</v>
      </c>
      <c r="BB5" s="40"/>
      <c r="BC5" s="40"/>
      <c r="BD5" s="40"/>
      <c r="BE5" s="40"/>
      <c r="BF5" s="40"/>
      <c r="BG5" s="40"/>
      <c r="BH5" s="72"/>
    </row>
    <row r="6" spans="1:60" x14ac:dyDescent="0.2">
      <c r="D6" s="126" t="s">
        <v>5</v>
      </c>
      <c r="E6" s="126"/>
      <c r="F6" s="11">
        <f ca="1">SUM($B$8:OFFSET(B8,B4,0))/(-$B$8*$B$4)</f>
        <v>0.06</v>
      </c>
      <c r="AZ6" s="71"/>
      <c r="BA6" s="49">
        <v>4</v>
      </c>
      <c r="BB6" s="40"/>
      <c r="BC6" s="127" t="s">
        <v>49</v>
      </c>
      <c r="BD6" s="127"/>
      <c r="BE6" s="127"/>
      <c r="BF6" s="116" t="s">
        <v>51</v>
      </c>
      <c r="BG6" s="116"/>
      <c r="BH6" s="72"/>
    </row>
    <row r="7" spans="1:60" x14ac:dyDescent="0.2">
      <c r="A7" s="4" t="s">
        <v>9</v>
      </c>
      <c r="B7" s="4" t="s">
        <v>10</v>
      </c>
      <c r="D7" s="126" t="s">
        <v>6</v>
      </c>
      <c r="E7" s="126"/>
      <c r="F7" s="11">
        <f ca="1">IFERROR(IRR(B8:OFFSET(B8,B4,0),F6),"No IRR")</f>
        <v>8.3561415554842977E-2</v>
      </c>
      <c r="AZ7" s="71"/>
      <c r="BA7" s="49">
        <v>5</v>
      </c>
      <c r="BB7" s="40"/>
      <c r="BC7" s="4" t="s">
        <v>9</v>
      </c>
      <c r="BD7" s="4" t="s">
        <v>10</v>
      </c>
      <c r="BE7" s="4" t="s">
        <v>47</v>
      </c>
      <c r="BF7" s="4" t="s">
        <v>59</v>
      </c>
      <c r="BG7" s="4" t="s">
        <v>47</v>
      </c>
      <c r="BH7" s="72"/>
    </row>
    <row r="8" spans="1:60" x14ac:dyDescent="0.2">
      <c r="A8" s="5">
        <v>0</v>
      </c>
      <c r="B8" s="8">
        <v>-30000</v>
      </c>
      <c r="D8" s="126" t="s">
        <v>48</v>
      </c>
      <c r="E8" s="126"/>
      <c r="F8" s="16">
        <f ca="1">IF(OFFSET(BD8,B4,0,1,1)&lt;0,"NP",COUNT(BD9:BD33))</f>
        <v>10</v>
      </c>
      <c r="AZ8" s="71"/>
      <c r="BA8" s="49">
        <v>6</v>
      </c>
      <c r="BB8" s="40"/>
      <c r="BC8" s="15">
        <f>A8</f>
        <v>0</v>
      </c>
      <c r="BD8" s="10">
        <f>IF(A8="","",B8)</f>
        <v>-30000</v>
      </c>
      <c r="BE8" s="10">
        <f>BD8</f>
        <v>-30000</v>
      </c>
      <c r="BF8" s="10">
        <f>BD8</f>
        <v>-30000</v>
      </c>
      <c r="BG8" s="10">
        <f>BF8</f>
        <v>-30000</v>
      </c>
      <c r="BH8" s="72"/>
    </row>
    <row r="9" spans="1:60" x14ac:dyDescent="0.2">
      <c r="A9" s="5">
        <f>IF(ROWS($A$9:A9)&gt;$B$4,"",ROWS($A$9:A9))</f>
        <v>1</v>
      </c>
      <c r="B9" s="8">
        <v>4000</v>
      </c>
      <c r="D9" s="126" t="s">
        <v>51</v>
      </c>
      <c r="E9" s="126"/>
      <c r="F9" s="16">
        <f ca="1">IF(OFFSET(BF8,B4,0,1,1)&lt;0,"NP",COUNT(BF9:BF33))</f>
        <v>10</v>
      </c>
      <c r="AZ9" s="71"/>
      <c r="BA9" s="49">
        <v>7</v>
      </c>
      <c r="BB9" s="40"/>
      <c r="BC9" s="15">
        <f t="shared" ref="BC9:BC33" si="0">A9</f>
        <v>1</v>
      </c>
      <c r="BD9" s="10">
        <f t="shared" ref="BD9:BD33" si="1">IF(A9="","",B9)</f>
        <v>4000</v>
      </c>
      <c r="BE9" s="10">
        <f>IF(BC9="","",IF(BE8&gt;=0,"",BD9+BE8))</f>
        <v>-26000</v>
      </c>
      <c r="BF9" s="60">
        <f>IF(A9="","",BD9/(1+$F$4)^BC9)</f>
        <v>3745.318352059925</v>
      </c>
      <c r="BG9" s="10">
        <f>IF(BC9="","",IF(BG8&gt;=0,"",BF9+BG8))</f>
        <v>-26254.681647940073</v>
      </c>
      <c r="BH9" s="72"/>
    </row>
    <row r="10" spans="1:60" ht="16" thickBot="1" x14ac:dyDescent="0.25">
      <c r="A10" s="5">
        <f>IF(ROWS($A$9:A10)&gt;$B$4,"",ROWS($A$9:A10))</f>
        <v>2</v>
      </c>
      <c r="B10" s="8">
        <v>4000</v>
      </c>
      <c r="AZ10" s="71"/>
      <c r="BA10" s="49">
        <v>8</v>
      </c>
      <c r="BB10" s="40"/>
      <c r="BC10" s="15">
        <f t="shared" si="0"/>
        <v>2</v>
      </c>
      <c r="BD10" s="10">
        <f t="shared" si="1"/>
        <v>4000</v>
      </c>
      <c r="BE10" s="10">
        <f t="shared" ref="BE10:BE33" si="2">IF(BC10="","",IF(BE9&gt;=0,"",BD10+BE9))</f>
        <v>-22000</v>
      </c>
      <c r="BF10" s="60">
        <f t="shared" ref="BF10:BF33" si="3">IF(A10="","",BD10/(1+$F$4)^BC10)</f>
        <v>3506.8523895692178</v>
      </c>
      <c r="BG10" s="10">
        <f t="shared" ref="BG10:BG33" si="4">IF(BC10="","",IF(BG9&gt;=0,"",BF10+BG9))</f>
        <v>-22747.829258370853</v>
      </c>
      <c r="BH10" s="72"/>
    </row>
    <row r="11" spans="1:60" ht="16" thickBot="1" x14ac:dyDescent="0.25">
      <c r="A11" s="5">
        <f>IF(ROWS($A$9:A11)&gt;$B$4,"",ROWS($A$9:A11))</f>
        <v>3</v>
      </c>
      <c r="B11" s="8">
        <v>4000</v>
      </c>
      <c r="D11" s="88" t="s">
        <v>55</v>
      </c>
      <c r="E11" s="90"/>
      <c r="AZ11" s="71"/>
      <c r="BA11" s="49">
        <v>9</v>
      </c>
      <c r="BB11" s="40"/>
      <c r="BC11" s="15">
        <f t="shared" si="0"/>
        <v>3</v>
      </c>
      <c r="BD11" s="10">
        <f t="shared" si="1"/>
        <v>4000</v>
      </c>
      <c r="BE11" s="10">
        <f t="shared" si="2"/>
        <v>-18000</v>
      </c>
      <c r="BF11" s="60">
        <f t="shared" si="3"/>
        <v>3283.5696531546982</v>
      </c>
      <c r="BG11" s="10">
        <f t="shared" si="4"/>
        <v>-19464.259605216153</v>
      </c>
      <c r="BH11" s="72"/>
    </row>
    <row r="12" spans="1:60" x14ac:dyDescent="0.2">
      <c r="A12" s="5">
        <f>IF(ROWS($A$9:A12)&gt;$B$4,"",ROWS($A$9:A12))</f>
        <v>4</v>
      </c>
      <c r="B12" s="8">
        <v>4000</v>
      </c>
      <c r="D12" s="71"/>
      <c r="E12" s="72"/>
      <c r="AZ12" s="71"/>
      <c r="BA12" s="49">
        <v>10</v>
      </c>
      <c r="BB12" s="40"/>
      <c r="BC12" s="15">
        <f t="shared" si="0"/>
        <v>4</v>
      </c>
      <c r="BD12" s="10">
        <f t="shared" si="1"/>
        <v>4000</v>
      </c>
      <c r="BE12" s="10">
        <f t="shared" si="2"/>
        <v>-14000</v>
      </c>
      <c r="BF12" s="60">
        <f t="shared" si="3"/>
        <v>3074.5034205568331</v>
      </c>
      <c r="BG12" s="10">
        <f t="shared" si="4"/>
        <v>-16389.75618465932</v>
      </c>
      <c r="BH12" s="72"/>
    </row>
    <row r="13" spans="1:60" x14ac:dyDescent="0.2">
      <c r="A13" s="5">
        <f>IF(ROWS($A$9:A13)&gt;$B$4,"",ROWS($A$9:A13))</f>
        <v>5</v>
      </c>
      <c r="B13" s="8">
        <v>4000</v>
      </c>
      <c r="D13" s="71"/>
      <c r="E13" s="72"/>
      <c r="AZ13" s="71"/>
      <c r="BA13" s="49">
        <v>11</v>
      </c>
      <c r="BB13" s="40"/>
      <c r="BC13" s="15">
        <f t="shared" si="0"/>
        <v>5</v>
      </c>
      <c r="BD13" s="10">
        <f t="shared" si="1"/>
        <v>4000</v>
      </c>
      <c r="BE13" s="10">
        <f t="shared" si="2"/>
        <v>-10000</v>
      </c>
      <c r="BF13" s="60">
        <f t="shared" si="3"/>
        <v>2878.7485211206304</v>
      </c>
      <c r="BG13" s="10">
        <f t="shared" si="4"/>
        <v>-13511.00766353869</v>
      </c>
      <c r="BH13" s="72"/>
    </row>
    <row r="14" spans="1:60" x14ac:dyDescent="0.2">
      <c r="A14" s="5">
        <f>IF(ROWS($A$9:A14)&gt;$B$4,"",ROWS($A$9:A14))</f>
        <v>6</v>
      </c>
      <c r="B14" s="8">
        <v>4000</v>
      </c>
      <c r="D14" s="71"/>
      <c r="E14" s="72"/>
      <c r="AZ14" s="71"/>
      <c r="BA14" s="49">
        <v>12</v>
      </c>
      <c r="BB14" s="40"/>
      <c r="BC14" s="15">
        <f t="shared" si="0"/>
        <v>6</v>
      </c>
      <c r="BD14" s="10">
        <f t="shared" si="1"/>
        <v>4000</v>
      </c>
      <c r="BE14" s="10">
        <f t="shared" si="2"/>
        <v>-6000</v>
      </c>
      <c r="BF14" s="60">
        <f t="shared" si="3"/>
        <v>2695.4574167796163</v>
      </c>
      <c r="BG14" s="10">
        <f t="shared" si="4"/>
        <v>-10815.550246759074</v>
      </c>
      <c r="BH14" s="72"/>
    </row>
    <row r="15" spans="1:60" x14ac:dyDescent="0.2">
      <c r="A15" s="5">
        <f>IF(ROWS($A$9:A15)&gt;$B$4,"",ROWS($A$9:A15))</f>
        <v>7</v>
      </c>
      <c r="B15" s="8">
        <v>4000</v>
      </c>
      <c r="D15" s="71"/>
      <c r="E15" s="72"/>
      <c r="AZ15" s="71"/>
      <c r="BA15" s="49">
        <v>13</v>
      </c>
      <c r="BB15" s="40"/>
      <c r="BC15" s="15">
        <f t="shared" si="0"/>
        <v>7</v>
      </c>
      <c r="BD15" s="10">
        <f t="shared" si="1"/>
        <v>4000</v>
      </c>
      <c r="BE15" s="10">
        <f t="shared" si="2"/>
        <v>-2000</v>
      </c>
      <c r="BF15" s="60">
        <f t="shared" si="3"/>
        <v>2523.8365325651835</v>
      </c>
      <c r="BG15" s="10">
        <f t="shared" si="4"/>
        <v>-8291.7137141938911</v>
      </c>
      <c r="BH15" s="72"/>
    </row>
    <row r="16" spans="1:60" x14ac:dyDescent="0.2">
      <c r="A16" s="5">
        <f>IF(ROWS($A$9:A16)&gt;$B$4,"",ROWS($A$9:A16))</f>
        <v>8</v>
      </c>
      <c r="B16" s="8">
        <v>4000</v>
      </c>
      <c r="D16" s="71"/>
      <c r="E16" s="72"/>
      <c r="AZ16" s="71"/>
      <c r="BA16" s="49">
        <v>14</v>
      </c>
      <c r="BB16" s="40"/>
      <c r="BC16" s="15">
        <f t="shared" si="0"/>
        <v>8</v>
      </c>
      <c r="BD16" s="10">
        <f t="shared" si="1"/>
        <v>4000</v>
      </c>
      <c r="BE16" s="10">
        <f t="shared" si="2"/>
        <v>2000</v>
      </c>
      <c r="BF16" s="60">
        <f t="shared" si="3"/>
        <v>2363.142820753917</v>
      </c>
      <c r="BG16" s="10">
        <f t="shared" si="4"/>
        <v>-5928.5708934399736</v>
      </c>
      <c r="BH16" s="72"/>
    </row>
    <row r="17" spans="1:60" ht="16" thickBot="1" x14ac:dyDescent="0.25">
      <c r="A17" s="5">
        <f>IF(ROWS($A$9:A17)&gt;$B$4,"",ROWS($A$9:A17))</f>
        <v>9</v>
      </c>
      <c r="B17" s="8">
        <v>4000</v>
      </c>
      <c r="D17" s="78"/>
      <c r="E17" s="77"/>
      <c r="AZ17" s="71"/>
      <c r="BA17" s="49">
        <v>15</v>
      </c>
      <c r="BB17" s="40"/>
      <c r="BC17" s="15">
        <f t="shared" si="0"/>
        <v>9</v>
      </c>
      <c r="BD17" s="10">
        <f t="shared" si="1"/>
        <v>4000</v>
      </c>
      <c r="BE17" s="10" t="str">
        <f t="shared" si="2"/>
        <v/>
      </c>
      <c r="BF17" s="60">
        <f t="shared" si="3"/>
        <v>2212.6805437770759</v>
      </c>
      <c r="BG17" s="10">
        <f t="shared" si="4"/>
        <v>-3715.8903496628977</v>
      </c>
      <c r="BH17" s="72"/>
    </row>
    <row r="18" spans="1:60" x14ac:dyDescent="0.2">
      <c r="A18" s="5">
        <f>IF(ROWS($A$9:A18)&gt;$B$4,"",ROWS($A$9:A18))</f>
        <v>10</v>
      </c>
      <c r="B18" s="8">
        <v>12000</v>
      </c>
      <c r="AZ18" s="71"/>
      <c r="BA18" s="49">
        <v>16</v>
      </c>
      <c r="BB18" s="40"/>
      <c r="BC18" s="15">
        <f t="shared" si="0"/>
        <v>10</v>
      </c>
      <c r="BD18" s="10">
        <f t="shared" si="1"/>
        <v>12000</v>
      </c>
      <c r="BE18" s="10" t="str">
        <f t="shared" si="2"/>
        <v/>
      </c>
      <c r="BF18" s="60">
        <f t="shared" si="3"/>
        <v>6215.3947858906622</v>
      </c>
      <c r="BG18" s="10">
        <f t="shared" si="4"/>
        <v>2499.5044362277645</v>
      </c>
      <c r="BH18" s="72"/>
    </row>
    <row r="19" spans="1:60" x14ac:dyDescent="0.2">
      <c r="A19" s="5" t="str">
        <f>IF(ROWS($A$9:A19)&gt;$B$4,"",ROWS($A$9:A19))</f>
        <v/>
      </c>
      <c r="B19" s="8">
        <v>15000</v>
      </c>
      <c r="D19" s="12"/>
      <c r="AZ19" s="71"/>
      <c r="BA19" s="49">
        <v>17</v>
      </c>
      <c r="BB19" s="40"/>
      <c r="BC19" s="15" t="str">
        <f t="shared" si="0"/>
        <v/>
      </c>
      <c r="BD19" s="10" t="str">
        <f t="shared" si="1"/>
        <v/>
      </c>
      <c r="BE19" s="10" t="str">
        <f t="shared" si="2"/>
        <v/>
      </c>
      <c r="BF19" s="60" t="str">
        <f t="shared" si="3"/>
        <v/>
      </c>
      <c r="BG19" s="10" t="str">
        <f t="shared" si="4"/>
        <v/>
      </c>
      <c r="BH19" s="72"/>
    </row>
    <row r="20" spans="1:60" x14ac:dyDescent="0.2">
      <c r="A20" s="5" t="str">
        <f>IF(ROWS($A$9:A20)&gt;$B$4,"",ROWS($A$9:A20))</f>
        <v/>
      </c>
      <c r="B20" s="8">
        <v>15000</v>
      </c>
      <c r="AZ20" s="71"/>
      <c r="BA20" s="49">
        <v>18</v>
      </c>
      <c r="BB20" s="40"/>
      <c r="BC20" s="15" t="str">
        <f t="shared" si="0"/>
        <v/>
      </c>
      <c r="BD20" s="10" t="str">
        <f t="shared" si="1"/>
        <v/>
      </c>
      <c r="BE20" s="10" t="str">
        <f t="shared" si="2"/>
        <v/>
      </c>
      <c r="BF20" s="60" t="str">
        <f t="shared" si="3"/>
        <v/>
      </c>
      <c r="BG20" s="10" t="str">
        <f t="shared" si="4"/>
        <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BF6:BG6"/>
    <mergeCell ref="D8:E8"/>
    <mergeCell ref="D6:E6"/>
    <mergeCell ref="D7:E7"/>
    <mergeCell ref="D11:E11"/>
    <mergeCell ref="D9:E9"/>
    <mergeCell ref="BC6:BE6"/>
  </mergeCells>
  <conditionalFormatting sqref="A8:B33">
    <cfRule type="expression" dxfId="17" priority="10">
      <formula>$A8=""</formula>
    </cfRule>
  </conditionalFormatting>
  <conditionalFormatting sqref="BC8:BG33">
    <cfRule type="expression" dxfId="16" priority="1">
      <formula>$BC8=""</formula>
    </cfRule>
  </conditionalFormatting>
  <dataValidations disablePrompts="1" count="4">
    <dataValidation type="list" allowBlank="1" showInputMessage="1" showErrorMessage="1" sqref="B4" xr:uid="{08B7B2D9-3CF3-45AD-866C-44BCE6ACF124}">
      <formula1>$BA$5:$BA$27</formula1>
    </dataValidation>
    <dataValidation type="decimal" allowBlank="1" showInputMessage="1" showErrorMessage="1" errorTitle="Beta Value Input Error" error="Please enter decimal value between 0 and 3. If you want to make changes please contact an expert " sqref="B5" xr:uid="{EF99F13E-C776-4700-BC62-AB526187D263}">
      <formula1>0</formula1>
      <formula2>3</formula2>
    </dataValidation>
    <dataValidation type="custom" allowBlank="1" showInputMessage="1" showErrorMessage="1" error="The Expected cashflow for year 0 should be negative" sqref="B8" xr:uid="{AC364EAA-0C2D-442D-9DD8-3F6F76ED369B}">
      <formula1>B8&lt;0</formula1>
    </dataValidation>
    <dataValidation type="custom" allowBlank="1" showInputMessage="1" showErrorMessage="1" error="The expected cashflow from year 1 onwards should be a number" sqref="B9:B33" xr:uid="{D98935DC-F84B-4404-AA1D-59FDE0D59732}">
      <formula1>ISNUMBER(B9)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GoToSummary">
                <anchor moveWithCells="1" sizeWithCells="1">
                  <from>
                    <xdr:col>3</xdr:col>
                    <xdr:colOff>304800</xdr:colOff>
                    <xdr:row>11</xdr:row>
                    <xdr:rowOff>165100</xdr:rowOff>
                  </from>
                  <to>
                    <xdr:col>4</xdr:col>
                    <xdr:colOff>1041400</xdr:colOff>
                    <xdr:row>13</xdr:row>
                    <xdr:rowOff>165100</xdr:rowOff>
                  </to>
                </anchor>
              </controlPr>
            </control>
          </mc:Choice>
        </mc:AlternateContent>
        <mc:AlternateContent xmlns:mc="http://schemas.openxmlformats.org/markup-compatibility/2006">
          <mc:Choice Requires="x14">
            <control shapeId="9218" r:id="rId4" name="Button 2">
              <controlPr defaultSize="0" print="0" autoFill="0" autoPict="0" macro="[0]!GoToNPV_Profile">
                <anchor moveWithCells="1" sizeWithCells="1">
                  <from>
                    <xdr:col>3</xdr:col>
                    <xdr:colOff>304800</xdr:colOff>
                    <xdr:row>14</xdr:row>
                    <xdr:rowOff>76200</xdr:rowOff>
                  </from>
                  <to>
                    <xdr:col>4</xdr:col>
                    <xdr:colOff>1041400</xdr:colOff>
                    <xdr:row>16</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E8D7D-4CCD-4FCF-AA2A-D47140DF1728}">
  <sheetPr codeName="Sheet7">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8" max="58" width="11.5" customWidth="1"/>
    <col min="59" max="59" width="11.8320312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15</v>
      </c>
      <c r="D4" s="126" t="s">
        <v>3</v>
      </c>
      <c r="E4" s="126"/>
      <c r="F4" s="9">
        <f>RfRate+ProjectD!B5*MRP</f>
        <v>9.6000000000000002E-2</v>
      </c>
      <c r="I4" s="103"/>
      <c r="J4" s="104"/>
      <c r="K4" s="70"/>
      <c r="AZ4" s="71"/>
      <c r="BA4" s="4" t="s">
        <v>11</v>
      </c>
      <c r="BB4" s="40"/>
      <c r="BC4" s="40"/>
      <c r="BD4" s="103"/>
      <c r="BE4" s="104"/>
      <c r="BF4" s="70"/>
      <c r="BG4" s="40"/>
      <c r="BH4" s="72"/>
    </row>
    <row r="5" spans="1:60" x14ac:dyDescent="0.2">
      <c r="A5" s="5" t="s">
        <v>8</v>
      </c>
      <c r="B5" s="6">
        <v>0.8</v>
      </c>
      <c r="D5" s="126" t="s">
        <v>4</v>
      </c>
      <c r="E5" s="126"/>
      <c r="F5" s="10">
        <f ca="1">$B$8+NPV($F$4,B9:OFFSET(B8,B4,0))</f>
        <v>38066.792386503192</v>
      </c>
      <c r="AZ5" s="71"/>
      <c r="BA5" s="49">
        <v>3</v>
      </c>
      <c r="BB5" s="40"/>
      <c r="BC5" s="40"/>
      <c r="BD5" s="40"/>
      <c r="BE5" s="40"/>
      <c r="BF5" s="40"/>
      <c r="BG5" s="40"/>
      <c r="BH5" s="72"/>
    </row>
    <row r="6" spans="1:60" x14ac:dyDescent="0.2">
      <c r="D6" s="126" t="s">
        <v>5</v>
      </c>
      <c r="E6" s="126"/>
      <c r="F6" s="11">
        <f ca="1">SUM($B$8:OFFSET(B8,B4,0))/(-$B$8*$B$4)</f>
        <v>0.13083333333333333</v>
      </c>
      <c r="AZ6" s="71"/>
      <c r="BA6" s="49">
        <v>4</v>
      </c>
      <c r="BB6" s="40"/>
      <c r="BC6" s="127" t="s">
        <v>49</v>
      </c>
      <c r="BD6" s="127"/>
      <c r="BE6" s="127"/>
      <c r="BF6" s="116" t="s">
        <v>51</v>
      </c>
      <c r="BG6" s="116"/>
      <c r="BH6" s="72"/>
    </row>
    <row r="7" spans="1:60" x14ac:dyDescent="0.2">
      <c r="A7" s="4" t="s">
        <v>9</v>
      </c>
      <c r="B7" s="4" t="s">
        <v>10</v>
      </c>
      <c r="D7" s="126" t="s">
        <v>6</v>
      </c>
      <c r="E7" s="126"/>
      <c r="F7" s="11">
        <f ca="1">IFERROR(IRR(B8:OFFSET(B8,B4,0),F6),"No IRR")</f>
        <v>0.17162780339005557</v>
      </c>
      <c r="AZ7" s="71"/>
      <c r="BA7" s="49">
        <v>5</v>
      </c>
      <c r="BB7" s="40"/>
      <c r="BC7" s="4" t="s">
        <v>9</v>
      </c>
      <c r="BD7" s="4" t="s">
        <v>10</v>
      </c>
      <c r="BE7" s="4" t="s">
        <v>47</v>
      </c>
      <c r="BF7" s="4" t="s">
        <v>52</v>
      </c>
      <c r="BG7" s="4" t="s">
        <v>47</v>
      </c>
      <c r="BH7" s="72"/>
    </row>
    <row r="8" spans="1:60" x14ac:dyDescent="0.2">
      <c r="A8" s="5">
        <v>0</v>
      </c>
      <c r="B8" s="8">
        <v>-80000</v>
      </c>
      <c r="D8" s="126" t="s">
        <v>48</v>
      </c>
      <c r="E8" s="126"/>
      <c r="F8" s="16">
        <f ca="1">IF(OFFSET(BE8,B4,0,1,1)&lt;0,"NP",COUNT(BE9:BE33))</f>
        <v>4</v>
      </c>
      <c r="AZ8" s="71"/>
      <c r="BA8" s="49">
        <v>6</v>
      </c>
      <c r="BB8" s="40"/>
      <c r="BC8" s="15">
        <f>A8</f>
        <v>0</v>
      </c>
      <c r="BD8" s="10">
        <f>IF(A8="","",B8)</f>
        <v>-80000</v>
      </c>
      <c r="BE8" s="10">
        <f>BD8</f>
        <v>-80000</v>
      </c>
      <c r="BF8" s="10">
        <f>BD8</f>
        <v>-80000</v>
      </c>
      <c r="BG8" s="10">
        <f>BF8</f>
        <v>-80000</v>
      </c>
      <c r="BH8" s="72"/>
    </row>
    <row r="9" spans="1:60" x14ac:dyDescent="0.2">
      <c r="A9" s="5">
        <f>IF(ROWS($A$9:A9)&gt;$B$4,"",ROWS($A$9:A9))</f>
        <v>1</v>
      </c>
      <c r="B9" s="8">
        <v>20000</v>
      </c>
      <c r="D9" s="126" t="s">
        <v>51</v>
      </c>
      <c r="E9" s="126"/>
      <c r="F9" s="16">
        <f ca="1">IF(OFFSET(BG8,B4,0,1,1)&lt;0,"NP",COUNT(BG9:BG33))</f>
        <v>10</v>
      </c>
      <c r="AZ9" s="71"/>
      <c r="BA9" s="49">
        <v>7</v>
      </c>
      <c r="BB9" s="40"/>
      <c r="BC9" s="15">
        <f t="shared" ref="BC9:BC33" si="0">A9</f>
        <v>1</v>
      </c>
      <c r="BD9" s="10">
        <f t="shared" ref="BD9:BD33" si="1">IF(A9="","",B9)</f>
        <v>20000</v>
      </c>
      <c r="BE9" s="10">
        <f>IF(BC9="","",IF(BE8&gt;=0,"",BD9+BE8))</f>
        <v>-60000</v>
      </c>
      <c r="BF9" s="60">
        <f>IF(A9="","",BD9/(1+$F$4)^BC9)</f>
        <v>18248.175182481751</v>
      </c>
      <c r="BG9" s="10">
        <f>IF(BC9="","",IF(BG8&gt;=0,"",BF9+BG8))</f>
        <v>-61751.824817518253</v>
      </c>
      <c r="BH9" s="72"/>
    </row>
    <row r="10" spans="1:60" ht="16" thickBot="1" x14ac:dyDescent="0.25">
      <c r="A10" s="5">
        <f>IF(ROWS($A$9:A10)&gt;$B$4,"",ROWS($A$9:A10))</f>
        <v>2</v>
      </c>
      <c r="B10" s="8">
        <v>20000</v>
      </c>
      <c r="AZ10" s="71"/>
      <c r="BA10" s="49">
        <v>8</v>
      </c>
      <c r="BB10" s="40"/>
      <c r="BC10" s="15">
        <f t="shared" si="0"/>
        <v>2</v>
      </c>
      <c r="BD10" s="10">
        <f t="shared" si="1"/>
        <v>20000</v>
      </c>
      <c r="BE10" s="10">
        <f t="shared" ref="BE10:BE33" si="2">IF(BC10="","",IF(BE9&gt;=0,"",BD10+BE9))</f>
        <v>-40000</v>
      </c>
      <c r="BF10" s="60">
        <f t="shared" ref="BF10:BF33" si="3">IF(A10="","",BD10/(1+$F$4)^BC10)</f>
        <v>16649.794874527142</v>
      </c>
      <c r="BG10" s="10">
        <f t="shared" ref="BG10:BG33" si="4">IF(BC10="","",IF(BG9&gt;=0,"",BF10+BG9))</f>
        <v>-45102.02994299111</v>
      </c>
      <c r="BH10" s="72"/>
    </row>
    <row r="11" spans="1:60" ht="16" thickBot="1" x14ac:dyDescent="0.25">
      <c r="A11" s="5">
        <f>IF(ROWS($A$9:A11)&gt;$B$4,"",ROWS($A$9:A11))</f>
        <v>3</v>
      </c>
      <c r="B11" s="8">
        <v>30000</v>
      </c>
      <c r="D11" s="88" t="s">
        <v>55</v>
      </c>
      <c r="E11" s="90"/>
      <c r="AZ11" s="71"/>
      <c r="BA11" s="49">
        <v>9</v>
      </c>
      <c r="BB11" s="40"/>
      <c r="BC11" s="15">
        <f t="shared" si="0"/>
        <v>3</v>
      </c>
      <c r="BD11" s="10">
        <f t="shared" si="1"/>
        <v>30000</v>
      </c>
      <c r="BE11" s="10">
        <f t="shared" si="2"/>
        <v>-10000</v>
      </c>
      <c r="BF11" s="60">
        <f t="shared" si="3"/>
        <v>22787.128021706856</v>
      </c>
      <c r="BG11" s="10">
        <f t="shared" si="4"/>
        <v>-22314.901921284254</v>
      </c>
      <c r="BH11" s="72"/>
    </row>
    <row r="12" spans="1:60" x14ac:dyDescent="0.2">
      <c r="A12" s="5">
        <f>IF(ROWS($A$9:A12)&gt;$B$4,"",ROWS($A$9:A12))</f>
        <v>4</v>
      </c>
      <c r="B12" s="8">
        <v>20000</v>
      </c>
      <c r="D12" s="71"/>
      <c r="E12" s="72"/>
      <c r="AZ12" s="71"/>
      <c r="BA12" s="49">
        <v>10</v>
      </c>
      <c r="BB12" s="40"/>
      <c r="BC12" s="15">
        <f t="shared" si="0"/>
        <v>4</v>
      </c>
      <c r="BD12" s="10">
        <f t="shared" si="1"/>
        <v>20000</v>
      </c>
      <c r="BE12" s="10">
        <f t="shared" si="2"/>
        <v>10000</v>
      </c>
      <c r="BF12" s="60">
        <f t="shared" si="3"/>
        <v>13860.783468191514</v>
      </c>
      <c r="BG12" s="10">
        <f t="shared" si="4"/>
        <v>-8454.1184530927403</v>
      </c>
      <c r="BH12" s="72"/>
    </row>
    <row r="13" spans="1:60" x14ac:dyDescent="0.2">
      <c r="A13" s="5">
        <f>IF(ROWS($A$9:A13)&gt;$B$4,"",ROWS($A$9:A13))</f>
        <v>5</v>
      </c>
      <c r="B13" s="8">
        <v>-40000</v>
      </c>
      <c r="D13" s="71"/>
      <c r="E13" s="72"/>
      <c r="AZ13" s="71"/>
      <c r="BA13" s="49">
        <v>11</v>
      </c>
      <c r="BB13" s="40"/>
      <c r="BC13" s="15">
        <f t="shared" si="0"/>
        <v>5</v>
      </c>
      <c r="BD13" s="10">
        <f t="shared" si="1"/>
        <v>-40000</v>
      </c>
      <c r="BE13" s="10" t="str">
        <f t="shared" si="2"/>
        <v/>
      </c>
      <c r="BF13" s="60">
        <f t="shared" si="3"/>
        <v>-25293.40048940057</v>
      </c>
      <c r="BG13" s="10">
        <f t="shared" si="4"/>
        <v>-33747.518942493312</v>
      </c>
      <c r="BH13" s="72"/>
    </row>
    <row r="14" spans="1:60" x14ac:dyDescent="0.2">
      <c r="A14" s="5">
        <f>IF(ROWS($A$9:A14)&gt;$B$4,"",ROWS($A$9:A14))</f>
        <v>6</v>
      </c>
      <c r="B14" s="8">
        <v>12000</v>
      </c>
      <c r="D14" s="71"/>
      <c r="E14" s="72"/>
      <c r="AZ14" s="71"/>
      <c r="BA14" s="49">
        <v>12</v>
      </c>
      <c r="BB14" s="40"/>
      <c r="BC14" s="15">
        <f t="shared" si="0"/>
        <v>6</v>
      </c>
      <c r="BD14" s="10">
        <f t="shared" si="1"/>
        <v>12000</v>
      </c>
      <c r="BE14" s="10" t="str">
        <f t="shared" si="2"/>
        <v/>
      </c>
      <c r="BF14" s="60">
        <f t="shared" si="3"/>
        <v>6923.3760463687686</v>
      </c>
      <c r="BG14" s="10">
        <f t="shared" si="4"/>
        <v>-26824.142896124544</v>
      </c>
      <c r="BH14" s="72"/>
    </row>
    <row r="15" spans="1:60" x14ac:dyDescent="0.2">
      <c r="A15" s="5">
        <f>IF(ROWS($A$9:A15)&gt;$B$4,"",ROWS($A$9:A15))</f>
        <v>7</v>
      </c>
      <c r="B15" s="8">
        <v>15000</v>
      </c>
      <c r="D15" s="71"/>
      <c r="E15" s="72"/>
      <c r="AZ15" s="71"/>
      <c r="BA15" s="49">
        <v>13</v>
      </c>
      <c r="BB15" s="40"/>
      <c r="BC15" s="15">
        <f t="shared" si="0"/>
        <v>7</v>
      </c>
      <c r="BD15" s="10">
        <f t="shared" si="1"/>
        <v>15000</v>
      </c>
      <c r="BE15" s="10" t="str">
        <f t="shared" si="2"/>
        <v/>
      </c>
      <c r="BF15" s="60">
        <f t="shared" si="3"/>
        <v>7896.1861842709495</v>
      </c>
      <c r="BG15" s="10">
        <f t="shared" si="4"/>
        <v>-18927.956711853592</v>
      </c>
      <c r="BH15" s="72"/>
    </row>
    <row r="16" spans="1:60" x14ac:dyDescent="0.2">
      <c r="A16" s="5">
        <f>IF(ROWS($A$9:A16)&gt;$B$4,"",ROWS($A$9:A16))</f>
        <v>8</v>
      </c>
      <c r="B16" s="8">
        <v>20000</v>
      </c>
      <c r="D16" s="71"/>
      <c r="E16" s="72"/>
      <c r="AZ16" s="71"/>
      <c r="BA16" s="49">
        <v>14</v>
      </c>
      <c r="BB16" s="40"/>
      <c r="BC16" s="15">
        <f t="shared" si="0"/>
        <v>8</v>
      </c>
      <c r="BD16" s="10">
        <f t="shared" si="1"/>
        <v>20000</v>
      </c>
      <c r="BE16" s="10" t="str">
        <f t="shared" si="2"/>
        <v/>
      </c>
      <c r="BF16" s="60">
        <f t="shared" si="3"/>
        <v>9606.0659176045592</v>
      </c>
      <c r="BG16" s="10">
        <f t="shared" si="4"/>
        <v>-9321.8907942490332</v>
      </c>
      <c r="BH16" s="72"/>
    </row>
    <row r="17" spans="1:60" ht="16" thickBot="1" x14ac:dyDescent="0.25">
      <c r="A17" s="5">
        <f>IF(ROWS($A$9:A17)&gt;$B$4,"",ROWS($A$9:A17))</f>
        <v>9</v>
      </c>
      <c r="B17" s="8">
        <v>20000</v>
      </c>
      <c r="D17" s="78"/>
      <c r="E17" s="77"/>
      <c r="AZ17" s="71"/>
      <c r="BA17" s="49">
        <v>15</v>
      </c>
      <c r="BB17" s="40"/>
      <c r="BC17" s="15">
        <f t="shared" si="0"/>
        <v>9</v>
      </c>
      <c r="BD17" s="10">
        <f t="shared" si="1"/>
        <v>20000</v>
      </c>
      <c r="BE17" s="10" t="str">
        <f t="shared" si="2"/>
        <v/>
      </c>
      <c r="BF17" s="60">
        <f t="shared" si="3"/>
        <v>8764.658683945765</v>
      </c>
      <c r="BG17" s="10">
        <f t="shared" si="4"/>
        <v>-557.2321103032682</v>
      </c>
      <c r="BH17" s="72"/>
    </row>
    <row r="18" spans="1:60" x14ac:dyDescent="0.2">
      <c r="A18" s="5">
        <f>IF(ROWS($A$9:A18)&gt;$B$4,"",ROWS($A$9:A18))</f>
        <v>10</v>
      </c>
      <c r="B18" s="8">
        <v>20000</v>
      </c>
      <c r="AZ18" s="71"/>
      <c r="BA18" s="49">
        <v>16</v>
      </c>
      <c r="BB18" s="40"/>
      <c r="BC18" s="15">
        <f t="shared" si="0"/>
        <v>10</v>
      </c>
      <c r="BD18" s="10">
        <f t="shared" si="1"/>
        <v>20000</v>
      </c>
      <c r="BE18" s="10" t="str">
        <f t="shared" si="2"/>
        <v/>
      </c>
      <c r="BF18" s="60">
        <f t="shared" si="3"/>
        <v>7996.9513539651125</v>
      </c>
      <c r="BG18" s="10">
        <f t="shared" si="4"/>
        <v>7439.7192436618443</v>
      </c>
      <c r="BH18" s="72"/>
    </row>
    <row r="19" spans="1:60" x14ac:dyDescent="0.2">
      <c r="A19" s="5">
        <f>IF(ROWS($A$9:A19)&gt;$B$4,"",ROWS($A$9:A19))</f>
        <v>11</v>
      </c>
      <c r="B19" s="8">
        <v>20000</v>
      </c>
      <c r="D19" s="12"/>
      <c r="AZ19" s="71"/>
      <c r="BA19" s="49">
        <v>17</v>
      </c>
      <c r="BB19" s="40"/>
      <c r="BC19" s="15">
        <f t="shared" si="0"/>
        <v>11</v>
      </c>
      <c r="BD19" s="10">
        <f t="shared" si="1"/>
        <v>20000</v>
      </c>
      <c r="BE19" s="10" t="str">
        <f t="shared" si="2"/>
        <v/>
      </c>
      <c r="BF19" s="60">
        <f t="shared" si="3"/>
        <v>7296.4884616470008</v>
      </c>
      <c r="BG19" s="10" t="str">
        <f t="shared" si="4"/>
        <v/>
      </c>
      <c r="BH19" s="72"/>
    </row>
    <row r="20" spans="1:60" x14ac:dyDescent="0.2">
      <c r="A20" s="5">
        <f>IF(ROWS($A$9:A20)&gt;$B$4,"",ROWS($A$9:A20))</f>
        <v>12</v>
      </c>
      <c r="B20" s="8">
        <v>20000</v>
      </c>
      <c r="AZ20" s="71"/>
      <c r="BA20" s="49">
        <v>18</v>
      </c>
      <c r="BB20" s="40"/>
      <c r="BC20" s="15">
        <f t="shared" si="0"/>
        <v>12</v>
      </c>
      <c r="BD20" s="10">
        <f t="shared" si="1"/>
        <v>20000</v>
      </c>
      <c r="BE20" s="10" t="str">
        <f t="shared" si="2"/>
        <v/>
      </c>
      <c r="BF20" s="60">
        <f t="shared" si="3"/>
        <v>6657.3799832545601</v>
      </c>
      <c r="BG20" s="10" t="str">
        <f t="shared" si="4"/>
        <v/>
      </c>
      <c r="BH20" s="72"/>
    </row>
    <row r="21" spans="1:60" x14ac:dyDescent="0.2">
      <c r="A21" s="5">
        <f>IF(ROWS($A$9:A21)&gt;$B$4,"",ROWS($A$9:A21))</f>
        <v>13</v>
      </c>
      <c r="B21" s="8">
        <v>20000</v>
      </c>
      <c r="AZ21" s="71"/>
      <c r="BA21" s="49">
        <v>19</v>
      </c>
      <c r="BB21" s="40"/>
      <c r="BC21" s="15">
        <f t="shared" si="0"/>
        <v>13</v>
      </c>
      <c r="BD21" s="10">
        <f t="shared" si="1"/>
        <v>20000</v>
      </c>
      <c r="BE21" s="10" t="str">
        <f t="shared" si="2"/>
        <v/>
      </c>
      <c r="BF21" s="60">
        <f t="shared" si="3"/>
        <v>6074.2518095388323</v>
      </c>
      <c r="BG21" s="10" t="str">
        <f t="shared" si="4"/>
        <v/>
      </c>
      <c r="BH21" s="72"/>
    </row>
    <row r="22" spans="1:60" x14ac:dyDescent="0.2">
      <c r="A22" s="5">
        <f>IF(ROWS($A$9:A22)&gt;$B$4,"",ROWS($A$9:A22))</f>
        <v>14</v>
      </c>
      <c r="B22" s="8">
        <v>20000</v>
      </c>
      <c r="AZ22" s="71"/>
      <c r="BA22" s="49">
        <v>20</v>
      </c>
      <c r="BB22" s="40"/>
      <c r="BC22" s="15">
        <f t="shared" si="0"/>
        <v>14</v>
      </c>
      <c r="BD22" s="10">
        <f t="shared" si="1"/>
        <v>20000</v>
      </c>
      <c r="BE22" s="10" t="str">
        <f t="shared" si="2"/>
        <v/>
      </c>
      <c r="BF22" s="60">
        <f t="shared" si="3"/>
        <v>5542.2005561485685</v>
      </c>
      <c r="BG22" s="10" t="str">
        <f t="shared" si="4"/>
        <v/>
      </c>
      <c r="BH22" s="72"/>
    </row>
    <row r="23" spans="1:60" x14ac:dyDescent="0.2">
      <c r="A23" s="5">
        <f>IF(ROWS($A$9:A23)&gt;$B$4,"",ROWS($A$9:A23))</f>
        <v>15</v>
      </c>
      <c r="B23" s="8">
        <v>20000</v>
      </c>
      <c r="AZ23" s="71"/>
      <c r="BA23" s="49">
        <v>21</v>
      </c>
      <c r="BB23" s="40"/>
      <c r="BC23" s="15">
        <f t="shared" si="0"/>
        <v>15</v>
      </c>
      <c r="BD23" s="10">
        <f t="shared" si="1"/>
        <v>20000</v>
      </c>
      <c r="BE23" s="10" t="str">
        <f t="shared" si="2"/>
        <v/>
      </c>
      <c r="BF23" s="60">
        <f t="shared" si="3"/>
        <v>5056.7523322523439</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15" priority="6">
      <formula>$A8=""</formula>
    </cfRule>
  </conditionalFormatting>
  <conditionalFormatting sqref="BC8:BG33">
    <cfRule type="expression" dxfId="14" priority="1">
      <formula>$BC8=""</formula>
    </cfRule>
  </conditionalFormatting>
  <dataValidations count="4">
    <dataValidation type="custom" allowBlank="1" showInputMessage="1" showErrorMessage="1" error="The expected cashflow from year 1 onwards should be a number" sqref="B9:B33" xr:uid="{05754FB0-BE25-4F4E-942C-ED028AAF54EC}">
      <formula1>ISNUMBER(B9)</formula1>
    </dataValidation>
    <dataValidation type="custom" allowBlank="1" showInputMessage="1" showErrorMessage="1" error="The Expected cashflow for year 0 should be negative" sqref="B8" xr:uid="{6DDC4FE9-6B98-4B70-9970-71A916EB4016}">
      <formula1>B8&lt;0</formula1>
    </dataValidation>
    <dataValidation type="decimal" allowBlank="1" showInputMessage="1" showErrorMessage="1" errorTitle="Beta Value Input Error" error="Please enter decimal value between 0 and 3. If you want to make changes please contact an expert " sqref="B5" xr:uid="{E7A82EA7-D30D-4035-BB45-EC59B5E555BC}">
      <formula1>0</formula1>
      <formula2>3</formula2>
    </dataValidation>
    <dataValidation type="list" allowBlank="1" showInputMessage="1" showErrorMessage="1" sqref="B4" xr:uid="{2CF717A8-26A1-475C-AC3E-9440CA0EE60D}">
      <formula1>$BA$5:$BA$27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oToSummary">
                <anchor moveWithCells="1" sizeWithCells="1">
                  <from>
                    <xdr:col>3</xdr:col>
                    <xdr:colOff>292100</xdr:colOff>
                    <xdr:row>11</xdr:row>
                    <xdr:rowOff>152400</xdr:rowOff>
                  </from>
                  <to>
                    <xdr:col>4</xdr:col>
                    <xdr:colOff>1028700</xdr:colOff>
                    <xdr:row>13</xdr:row>
                    <xdr:rowOff>152400</xdr:rowOff>
                  </to>
                </anchor>
              </controlPr>
            </control>
          </mc:Choice>
        </mc:AlternateContent>
        <mc:AlternateContent xmlns:mc="http://schemas.openxmlformats.org/markup-compatibility/2006">
          <mc:Choice Requires="x14">
            <control shapeId="10242" r:id="rId4" name="Button 2">
              <controlPr defaultSize="0" print="0" autoFill="0" autoPict="0" macro="[0]!GoToNPV_Profile">
                <anchor moveWithCells="1" sizeWithCells="1">
                  <from>
                    <xdr:col>3</xdr:col>
                    <xdr:colOff>279400</xdr:colOff>
                    <xdr:row>14</xdr:row>
                    <xdr:rowOff>76200</xdr:rowOff>
                  </from>
                  <to>
                    <xdr:col>4</xdr:col>
                    <xdr:colOff>1028700</xdr:colOff>
                    <xdr:row>16</xdr:row>
                    <xdr:rowOff>63500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905B0-8698-45F9-A2CC-D26D39856675}">
  <sheetPr codeName="Sheet8">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6640625" customWidth="1"/>
    <col min="58" max="58" width="15.83203125" customWidth="1"/>
    <col min="59" max="59" width="14.164062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12</v>
      </c>
      <c r="D4" s="126" t="s">
        <v>3</v>
      </c>
      <c r="E4" s="126"/>
      <c r="F4" s="9">
        <f>RfRate+ProjectE!B5*MRP</f>
        <v>0.11700000000000002</v>
      </c>
      <c r="I4" s="103"/>
      <c r="J4" s="104"/>
      <c r="K4" s="70"/>
      <c r="AZ4" s="71"/>
      <c r="BA4" s="4" t="s">
        <v>11</v>
      </c>
      <c r="BB4" s="40"/>
      <c r="BC4" s="40"/>
      <c r="BD4" s="103"/>
      <c r="BE4" s="104"/>
      <c r="BF4" s="70"/>
      <c r="BG4" s="40"/>
      <c r="BH4" s="72"/>
    </row>
    <row r="5" spans="1:60" x14ac:dyDescent="0.2">
      <c r="A5" s="5" t="s">
        <v>8</v>
      </c>
      <c r="B5" s="6">
        <v>1.1000000000000001</v>
      </c>
      <c r="D5" s="126" t="s">
        <v>4</v>
      </c>
      <c r="E5" s="126"/>
      <c r="F5" s="10">
        <f ca="1">$B$8+NPV($F$4,B9:OFFSET(B8,B4,0))</f>
        <v>-13805.3796124951</v>
      </c>
      <c r="AZ5" s="71"/>
      <c r="BA5" s="49">
        <v>3</v>
      </c>
      <c r="BB5" s="40"/>
      <c r="BC5" s="40"/>
      <c r="BD5" s="40"/>
      <c r="BE5" s="40"/>
      <c r="BF5" s="40"/>
      <c r="BG5" s="40"/>
      <c r="BH5" s="72"/>
    </row>
    <row r="6" spans="1:60" x14ac:dyDescent="0.2">
      <c r="D6" s="126" t="s">
        <v>5</v>
      </c>
      <c r="E6" s="126"/>
      <c r="F6" s="11">
        <f ca="1">SUM($B$8:OFFSET(B8,B4,0))/(-$B$8*$B$4)</f>
        <v>-2.7777777777777779E-3</v>
      </c>
      <c r="AZ6" s="71"/>
      <c r="BA6" s="49">
        <v>4</v>
      </c>
      <c r="BB6" s="40"/>
      <c r="BC6" s="127" t="s">
        <v>49</v>
      </c>
      <c r="BD6" s="127"/>
      <c r="BE6" s="127"/>
      <c r="BF6" s="116" t="s">
        <v>51</v>
      </c>
      <c r="BG6" s="116"/>
      <c r="BH6" s="72"/>
    </row>
    <row r="7" spans="1:60" x14ac:dyDescent="0.2">
      <c r="A7" s="4" t="s">
        <v>9</v>
      </c>
      <c r="B7" s="4" t="s">
        <v>10</v>
      </c>
      <c r="D7" s="126" t="s">
        <v>6</v>
      </c>
      <c r="E7" s="126"/>
      <c r="F7" s="11">
        <f ca="1">IFERROR(IRR(B8:OFFSET(B8,B4,0),F6),"No IRR")</f>
        <v>-5.6999004457590763E-3</v>
      </c>
      <c r="AZ7" s="71"/>
      <c r="BA7" s="49">
        <v>5</v>
      </c>
      <c r="BB7" s="40"/>
      <c r="BC7" s="21" t="s">
        <v>9</v>
      </c>
      <c r="BD7" s="21" t="s">
        <v>10</v>
      </c>
      <c r="BE7" s="21" t="s">
        <v>47</v>
      </c>
      <c r="BF7" s="21" t="s">
        <v>59</v>
      </c>
      <c r="BG7" s="21" t="s">
        <v>47</v>
      </c>
      <c r="BH7" s="72"/>
    </row>
    <row r="8" spans="1:60" x14ac:dyDescent="0.2">
      <c r="A8" s="5">
        <v>0</v>
      </c>
      <c r="B8" s="8">
        <v>-30000</v>
      </c>
      <c r="D8" s="126" t="s">
        <v>48</v>
      </c>
      <c r="E8" s="126"/>
      <c r="F8" s="16" t="str">
        <f ca="1">IF(OFFSET(BE8,B4,0,1,1)&lt;0,"NP",COUNT(BE9:BE33))</f>
        <v>NP</v>
      </c>
      <c r="AZ8" s="71"/>
      <c r="BA8" s="49">
        <v>6</v>
      </c>
      <c r="BB8" s="40"/>
      <c r="BC8" s="15">
        <f>A8</f>
        <v>0</v>
      </c>
      <c r="BD8" s="10">
        <f>IF(A8="","",B8)</f>
        <v>-30000</v>
      </c>
      <c r="BE8" s="10">
        <f>BD8</f>
        <v>-30000</v>
      </c>
      <c r="BF8" s="10">
        <f>BD8</f>
        <v>-30000</v>
      </c>
      <c r="BG8" s="10">
        <f>BF8</f>
        <v>-30000</v>
      </c>
      <c r="BH8" s="72"/>
    </row>
    <row r="9" spans="1:60" x14ac:dyDescent="0.2">
      <c r="A9" s="5">
        <f>IF(ROWS($A$9:A9)&gt;$B$4,"",ROWS($A$9:A9))</f>
        <v>1</v>
      </c>
      <c r="B9" s="8">
        <v>3000</v>
      </c>
      <c r="D9" s="126" t="s">
        <v>51</v>
      </c>
      <c r="E9" s="126"/>
      <c r="F9" s="16" t="str">
        <f ca="1">IF(OFFSET(BG8,B4,0,1,1)&lt;0,"NP",COUNT(BG9:BG33))</f>
        <v>NP</v>
      </c>
      <c r="AZ9" s="71"/>
      <c r="BA9" s="49">
        <v>7</v>
      </c>
      <c r="BB9" s="40"/>
      <c r="BC9" s="15">
        <f t="shared" ref="BC9:BC33" si="0">A9</f>
        <v>1</v>
      </c>
      <c r="BD9" s="10">
        <f t="shared" ref="BD9:BD33" si="1">IF(A9="","",B9)</f>
        <v>3000</v>
      </c>
      <c r="BE9" s="10">
        <f>IF(BC9="","",IF(BE8&gt;=0,"",BD9+BE8))</f>
        <v>-27000</v>
      </c>
      <c r="BF9" s="60">
        <f>IF(A9="","",BD9/(1+$F$4)^BC9)</f>
        <v>2685.7654431512983</v>
      </c>
      <c r="BG9" s="10">
        <f>IF(BC9="","",IF(BG8&gt;=0,"",BF9+BG8))</f>
        <v>-27314.2345568487</v>
      </c>
      <c r="BH9" s="72"/>
    </row>
    <row r="10" spans="1:60" ht="16" thickBot="1" x14ac:dyDescent="0.25">
      <c r="A10" s="5">
        <f>IF(ROWS($A$9:A10)&gt;$B$4,"",ROWS($A$9:A10))</f>
        <v>2</v>
      </c>
      <c r="B10" s="8">
        <v>3000</v>
      </c>
      <c r="AZ10" s="71"/>
      <c r="BA10" s="49">
        <v>8</v>
      </c>
      <c r="BB10" s="40"/>
      <c r="BC10" s="15">
        <f t="shared" si="0"/>
        <v>2</v>
      </c>
      <c r="BD10" s="10">
        <f t="shared" si="1"/>
        <v>3000</v>
      </c>
      <c r="BE10" s="10">
        <f t="shared" ref="BE10:BE33" si="2">IF(BC10="","",IF(BE9&gt;=0,"",BD10+BE9))</f>
        <v>-24000</v>
      </c>
      <c r="BF10" s="60">
        <f t="shared" ref="BF10:BF33" si="3">IF(A10="","",BD10/(1+$F$4)^BC10)</f>
        <v>2404.445338541896</v>
      </c>
      <c r="BG10" s="10">
        <f t="shared" ref="BG10:BG33" si="4">IF(BC10="","",IF(BG9&gt;=0,"",BF10+BG9))</f>
        <v>-24909.789218306803</v>
      </c>
      <c r="BH10" s="72"/>
    </row>
    <row r="11" spans="1:60" ht="16" thickBot="1" x14ac:dyDescent="0.25">
      <c r="A11" s="5">
        <f>IF(ROWS($A$9:A11)&gt;$B$4,"",ROWS($A$9:A11))</f>
        <v>3</v>
      </c>
      <c r="B11" s="8">
        <v>3000</v>
      </c>
      <c r="D11" s="88" t="s">
        <v>55</v>
      </c>
      <c r="E11" s="90"/>
      <c r="AZ11" s="71"/>
      <c r="BA11" s="49">
        <v>9</v>
      </c>
      <c r="BB11" s="40"/>
      <c r="BC11" s="15">
        <f t="shared" si="0"/>
        <v>3</v>
      </c>
      <c r="BD11" s="10">
        <f t="shared" si="1"/>
        <v>3000</v>
      </c>
      <c r="BE11" s="10">
        <f t="shared" si="2"/>
        <v>-21000</v>
      </c>
      <c r="BF11" s="60">
        <f t="shared" si="3"/>
        <v>2152.5920667340165</v>
      </c>
      <c r="BG11" s="10">
        <f t="shared" si="4"/>
        <v>-22757.197151572786</v>
      </c>
      <c r="BH11" s="72"/>
    </row>
    <row r="12" spans="1:60" x14ac:dyDescent="0.2">
      <c r="A12" s="5">
        <f>IF(ROWS($A$9:A12)&gt;$B$4,"",ROWS($A$9:A12))</f>
        <v>4</v>
      </c>
      <c r="B12" s="8">
        <v>3000</v>
      </c>
      <c r="D12" s="71"/>
      <c r="E12" s="72"/>
      <c r="AZ12" s="71"/>
      <c r="BA12" s="49">
        <v>10</v>
      </c>
      <c r="BB12" s="40"/>
      <c r="BC12" s="15">
        <f t="shared" si="0"/>
        <v>4</v>
      </c>
      <c r="BD12" s="10">
        <f t="shared" si="1"/>
        <v>3000</v>
      </c>
      <c r="BE12" s="10">
        <f t="shared" si="2"/>
        <v>-18000</v>
      </c>
      <c r="BF12" s="60">
        <f t="shared" si="3"/>
        <v>1927.1191286786179</v>
      </c>
      <c r="BG12" s="10">
        <f t="shared" si="4"/>
        <v>-20830.078022894166</v>
      </c>
      <c r="BH12" s="72"/>
    </row>
    <row r="13" spans="1:60" x14ac:dyDescent="0.2">
      <c r="A13" s="5">
        <f>IF(ROWS($A$9:A13)&gt;$B$4,"",ROWS($A$9:A13))</f>
        <v>5</v>
      </c>
      <c r="B13" s="8">
        <v>3000</v>
      </c>
      <c r="D13" s="71"/>
      <c r="E13" s="72"/>
      <c r="AZ13" s="71"/>
      <c r="BA13" s="49">
        <v>11</v>
      </c>
      <c r="BB13" s="40"/>
      <c r="BC13" s="15">
        <f t="shared" si="0"/>
        <v>5</v>
      </c>
      <c r="BD13" s="10">
        <f t="shared" si="1"/>
        <v>3000</v>
      </c>
      <c r="BE13" s="10">
        <f t="shared" si="2"/>
        <v>-15000</v>
      </c>
      <c r="BF13" s="60">
        <f t="shared" si="3"/>
        <v>1725.2633202136237</v>
      </c>
      <c r="BG13" s="10">
        <f t="shared" si="4"/>
        <v>-19104.814702680542</v>
      </c>
      <c r="BH13" s="72"/>
    </row>
    <row r="14" spans="1:60" x14ac:dyDescent="0.2">
      <c r="A14" s="5">
        <f>IF(ROWS($A$9:A14)&gt;$B$4,"",ROWS($A$9:A14))</f>
        <v>6</v>
      </c>
      <c r="B14" s="8">
        <v>2000</v>
      </c>
      <c r="D14" s="71"/>
      <c r="E14" s="72"/>
      <c r="AZ14" s="71"/>
      <c r="BA14" s="49">
        <v>12</v>
      </c>
      <c r="BB14" s="40"/>
      <c r="BC14" s="15">
        <f t="shared" si="0"/>
        <v>6</v>
      </c>
      <c r="BD14" s="10">
        <f t="shared" si="1"/>
        <v>2000</v>
      </c>
      <c r="BE14" s="10">
        <f t="shared" si="2"/>
        <v>-13000</v>
      </c>
      <c r="BF14" s="60">
        <f t="shared" si="3"/>
        <v>1029.7005790591606</v>
      </c>
      <c r="BG14" s="10">
        <f t="shared" si="4"/>
        <v>-18075.114123621381</v>
      </c>
      <c r="BH14" s="72"/>
    </row>
    <row r="15" spans="1:60" x14ac:dyDescent="0.2">
      <c r="A15" s="5">
        <f>IF(ROWS($A$9:A15)&gt;$B$4,"",ROWS($A$9:A15))</f>
        <v>7</v>
      </c>
      <c r="B15" s="8">
        <v>2000</v>
      </c>
      <c r="D15" s="71"/>
      <c r="E15" s="72"/>
      <c r="AZ15" s="71"/>
      <c r="BA15" s="49">
        <v>13</v>
      </c>
      <c r="BB15" s="40"/>
      <c r="BC15" s="15">
        <f t="shared" si="0"/>
        <v>7</v>
      </c>
      <c r="BD15" s="10">
        <f t="shared" si="1"/>
        <v>2000</v>
      </c>
      <c r="BE15" s="10">
        <f t="shared" si="2"/>
        <v>-11000</v>
      </c>
      <c r="BF15" s="60">
        <f t="shared" si="3"/>
        <v>921.8447440099917</v>
      </c>
      <c r="BG15" s="10">
        <f t="shared" si="4"/>
        <v>-17153.269379611389</v>
      </c>
      <c r="BH15" s="72"/>
    </row>
    <row r="16" spans="1:60" x14ac:dyDescent="0.2">
      <c r="A16" s="5">
        <f>IF(ROWS($A$9:A16)&gt;$B$4,"",ROWS($A$9:A16))</f>
        <v>8</v>
      </c>
      <c r="B16" s="8">
        <v>2000</v>
      </c>
      <c r="D16" s="71"/>
      <c r="E16" s="72"/>
      <c r="AZ16" s="71"/>
      <c r="BA16" s="49">
        <v>14</v>
      </c>
      <c r="BB16" s="40"/>
      <c r="BC16" s="15">
        <f t="shared" si="0"/>
        <v>8</v>
      </c>
      <c r="BD16" s="10">
        <f t="shared" si="1"/>
        <v>2000</v>
      </c>
      <c r="BE16" s="10">
        <f t="shared" si="2"/>
        <v>-9000</v>
      </c>
      <c r="BF16" s="60">
        <f t="shared" si="3"/>
        <v>825.28625247089678</v>
      </c>
      <c r="BG16" s="10">
        <f t="shared" si="4"/>
        <v>-16327.983127140493</v>
      </c>
      <c r="BH16" s="72"/>
    </row>
    <row r="17" spans="1:60" ht="16" thickBot="1" x14ac:dyDescent="0.25">
      <c r="A17" s="5">
        <f>IF(ROWS($A$9:A17)&gt;$B$4,"",ROWS($A$9:A17))</f>
        <v>9</v>
      </c>
      <c r="B17" s="8">
        <v>2000</v>
      </c>
      <c r="D17" s="78"/>
      <c r="E17" s="77"/>
      <c r="AZ17" s="71"/>
      <c r="BA17" s="49">
        <v>15</v>
      </c>
      <c r="BB17" s="40"/>
      <c r="BC17" s="15">
        <f t="shared" si="0"/>
        <v>9</v>
      </c>
      <c r="BD17" s="10">
        <f t="shared" si="1"/>
        <v>2000</v>
      </c>
      <c r="BE17" s="10">
        <f t="shared" si="2"/>
        <v>-7000</v>
      </c>
      <c r="BF17" s="60">
        <f t="shared" si="3"/>
        <v>738.84176586472404</v>
      </c>
      <c r="BG17" s="10">
        <f t="shared" si="4"/>
        <v>-15589.141361275768</v>
      </c>
      <c r="BH17" s="72"/>
    </row>
    <row r="18" spans="1:60" x14ac:dyDescent="0.2">
      <c r="A18" s="5">
        <f>IF(ROWS($A$9:A18)&gt;$B$4,"",ROWS($A$9:A18))</f>
        <v>10</v>
      </c>
      <c r="B18" s="8">
        <v>2000</v>
      </c>
      <c r="AZ18" s="71"/>
      <c r="BA18" s="49">
        <v>16</v>
      </c>
      <c r="BB18" s="40"/>
      <c r="BC18" s="15">
        <f t="shared" si="0"/>
        <v>10</v>
      </c>
      <c r="BD18" s="10">
        <f t="shared" si="1"/>
        <v>2000</v>
      </c>
      <c r="BE18" s="10">
        <f t="shared" si="2"/>
        <v>-5000</v>
      </c>
      <c r="BF18" s="60">
        <f t="shared" si="3"/>
        <v>661.45189423878605</v>
      </c>
      <c r="BG18" s="10">
        <f t="shared" si="4"/>
        <v>-14927.689467036982</v>
      </c>
      <c r="BH18" s="72"/>
    </row>
    <row r="19" spans="1:60" x14ac:dyDescent="0.2">
      <c r="A19" s="5">
        <f>IF(ROWS($A$9:A19)&gt;$B$4,"",ROWS($A$9:A19))</f>
        <v>11</v>
      </c>
      <c r="B19" s="8">
        <v>2000</v>
      </c>
      <c r="D19" s="12"/>
      <c r="AZ19" s="71"/>
      <c r="BA19" s="49">
        <v>17</v>
      </c>
      <c r="BB19" s="40"/>
      <c r="BC19" s="15">
        <f t="shared" si="0"/>
        <v>11</v>
      </c>
      <c r="BD19" s="10">
        <f t="shared" si="1"/>
        <v>2000</v>
      </c>
      <c r="BE19" s="10">
        <f t="shared" si="2"/>
        <v>-3000</v>
      </c>
      <c r="BF19" s="60">
        <f t="shared" si="3"/>
        <v>592.16821328449964</v>
      </c>
      <c r="BG19" s="10">
        <f t="shared" si="4"/>
        <v>-14335.521253752482</v>
      </c>
      <c r="BH19" s="72"/>
    </row>
    <row r="20" spans="1:60" x14ac:dyDescent="0.2">
      <c r="A20" s="5">
        <f>IF(ROWS($A$9:A20)&gt;$B$4,"",ROWS($A$9:A20))</f>
        <v>12</v>
      </c>
      <c r="B20" s="8">
        <v>2000</v>
      </c>
      <c r="AZ20" s="71"/>
      <c r="BA20" s="49">
        <v>18</v>
      </c>
      <c r="BB20" s="40"/>
      <c r="BC20" s="15">
        <f t="shared" si="0"/>
        <v>12</v>
      </c>
      <c r="BD20" s="10">
        <f t="shared" si="1"/>
        <v>2000</v>
      </c>
      <c r="BE20" s="10">
        <f t="shared" si="2"/>
        <v>-1000</v>
      </c>
      <c r="BF20" s="60">
        <f t="shared" si="3"/>
        <v>530.14164125738546</v>
      </c>
      <c r="BG20" s="10">
        <f t="shared" si="4"/>
        <v>-13805.379612495097</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13" priority="5">
      <formula>$A8=""</formula>
    </cfRule>
  </conditionalFormatting>
  <conditionalFormatting sqref="BC8:BG33">
    <cfRule type="expression" dxfId="12" priority="1">
      <formula>$BC8=""</formula>
    </cfRule>
  </conditionalFormatting>
  <dataValidations count="4">
    <dataValidation type="list" allowBlank="1" showInputMessage="1" showErrorMessage="1" sqref="B4" xr:uid="{1093D5D1-9144-4DB2-B0A9-1CC71269D18A}">
      <formula1>$BA$5:$BA$27</formula1>
    </dataValidation>
    <dataValidation type="decimal" allowBlank="1" showInputMessage="1" showErrorMessage="1" errorTitle="Beta Value Input Error" error="Please enter decimal value between 0 and 3. If you want to make changes please contact an expert " sqref="B5" xr:uid="{205F2867-B8E0-48C4-B1DB-4C9D0FCFFE1A}">
      <formula1>0</formula1>
      <formula2>3</formula2>
    </dataValidation>
    <dataValidation type="custom" allowBlank="1" showInputMessage="1" showErrorMessage="1" error="The Expected cashflow for year 0 should be negative" sqref="B8" xr:uid="{F37357BB-2CB6-42AF-934C-F8CC96A453DF}">
      <formula1>B8&lt;0</formula1>
    </dataValidation>
    <dataValidation type="custom" allowBlank="1" showInputMessage="1" showErrorMessage="1" error="The expected cashflow from year 1 onwards should be a number" sqref="B9:B33" xr:uid="{54CA8352-F21E-44E8-8C58-181FC2E061F9}">
      <formula1>ISNUMBER(B9)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oToSummary">
                <anchor moveWithCells="1" sizeWithCells="1">
                  <from>
                    <xdr:col>3</xdr:col>
                    <xdr:colOff>330200</xdr:colOff>
                    <xdr:row>11</xdr:row>
                    <xdr:rowOff>139700</xdr:rowOff>
                  </from>
                  <to>
                    <xdr:col>4</xdr:col>
                    <xdr:colOff>1066800</xdr:colOff>
                    <xdr:row>13</xdr:row>
                    <xdr:rowOff>139700</xdr:rowOff>
                  </to>
                </anchor>
              </controlPr>
            </control>
          </mc:Choice>
        </mc:AlternateContent>
        <mc:AlternateContent xmlns:mc="http://schemas.openxmlformats.org/markup-compatibility/2006">
          <mc:Choice Requires="x14">
            <control shapeId="11266" r:id="rId4" name="Button 2">
              <controlPr defaultSize="0" print="0" autoFill="0" autoPict="0" macro="[0]!GoToNPV_Profile">
                <anchor moveWithCells="1" sizeWithCells="1">
                  <from>
                    <xdr:col>3</xdr:col>
                    <xdr:colOff>317500</xdr:colOff>
                    <xdr:row>14</xdr:row>
                    <xdr:rowOff>63500</xdr:rowOff>
                  </from>
                  <to>
                    <xdr:col>4</xdr:col>
                    <xdr:colOff>1054100</xdr:colOff>
                    <xdr:row>16</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57CFA-39CA-417A-95EB-2ECC65E76C7E}">
  <sheetPr codeName="Sheet9">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2.83203125" customWidth="1"/>
    <col min="58" max="58" width="14.83203125" customWidth="1"/>
    <col min="59" max="59" width="12.8320312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7</v>
      </c>
      <c r="D4" s="126" t="s">
        <v>3</v>
      </c>
      <c r="E4" s="126"/>
      <c r="F4" s="9">
        <f>RfRate+ProjectF!B5*MRP</f>
        <v>0.18700000000000003</v>
      </c>
      <c r="I4" s="103"/>
      <c r="J4" s="104"/>
      <c r="K4" s="70"/>
      <c r="AZ4" s="71"/>
      <c r="BA4" s="4" t="s">
        <v>11</v>
      </c>
      <c r="BB4" s="40"/>
      <c r="BC4" s="40"/>
      <c r="BD4" s="103"/>
      <c r="BE4" s="104"/>
      <c r="BF4" s="70"/>
      <c r="BG4" s="40"/>
      <c r="BH4" s="72"/>
    </row>
    <row r="5" spans="1:60" x14ac:dyDescent="0.2">
      <c r="A5" s="5" t="s">
        <v>8</v>
      </c>
      <c r="B5" s="6">
        <v>2.1</v>
      </c>
      <c r="D5" s="126" t="s">
        <v>4</v>
      </c>
      <c r="E5" s="126"/>
      <c r="F5" s="10">
        <f ca="1">$B$8+NPV($F$4,B9:OFFSET(B8,B4,0))</f>
        <v>-418.30112344504778</v>
      </c>
      <c r="AZ5" s="71"/>
      <c r="BA5" s="49">
        <v>3</v>
      </c>
      <c r="BB5" s="40"/>
      <c r="BC5" s="40"/>
      <c r="BD5" s="40"/>
      <c r="BE5" s="40"/>
      <c r="BF5" s="40"/>
      <c r="BG5" s="40"/>
      <c r="BH5" s="72"/>
    </row>
    <row r="6" spans="1:60" x14ac:dyDescent="0.2">
      <c r="D6" s="126" t="s">
        <v>5</v>
      </c>
      <c r="E6" s="126"/>
      <c r="F6" s="11">
        <f ca="1">SUM($B$8:OFFSET(B8,B4,0))/(-$B$8*$B$4)</f>
        <v>7.5187969924812026E-3</v>
      </c>
      <c r="AZ6" s="71"/>
      <c r="BA6" s="49">
        <v>4</v>
      </c>
      <c r="BB6" s="40"/>
      <c r="BC6" s="127" t="s">
        <v>49</v>
      </c>
      <c r="BD6" s="127"/>
      <c r="BE6" s="127"/>
      <c r="BF6" s="116" t="s">
        <v>51</v>
      </c>
      <c r="BG6" s="116"/>
      <c r="BH6" s="72"/>
    </row>
    <row r="7" spans="1:60" x14ac:dyDescent="0.2">
      <c r="A7" s="4" t="s">
        <v>9</v>
      </c>
      <c r="B7" s="4" t="s">
        <v>10</v>
      </c>
      <c r="D7" s="126" t="s">
        <v>6</v>
      </c>
      <c r="E7" s="126"/>
      <c r="F7" s="11">
        <f ca="1">IFERROR(IRR(B8:OFFSET(B8,B4,0),F6),"No IRR")</f>
        <v>3.1691685797590408E-2</v>
      </c>
      <c r="AZ7" s="71"/>
      <c r="BA7" s="49">
        <v>5</v>
      </c>
      <c r="BB7" s="40"/>
      <c r="BC7" s="4" t="s">
        <v>9</v>
      </c>
      <c r="BD7" s="4" t="s">
        <v>10</v>
      </c>
      <c r="BE7" s="4" t="s">
        <v>47</v>
      </c>
      <c r="BF7" s="4" t="s">
        <v>59</v>
      </c>
      <c r="BG7" s="4" t="s">
        <v>47</v>
      </c>
      <c r="BH7" s="72"/>
    </row>
    <row r="8" spans="1:60" x14ac:dyDescent="0.2">
      <c r="A8" s="5">
        <v>0</v>
      </c>
      <c r="B8" s="8">
        <v>-9500</v>
      </c>
      <c r="D8" s="126" t="s">
        <v>48</v>
      </c>
      <c r="E8" s="126"/>
      <c r="F8" s="16">
        <f ca="1">IF(OFFSET(BE8,B4,0,1,1)&lt;0,"NP",COUNT(BE9:BE33))</f>
        <v>1</v>
      </c>
      <c r="AZ8" s="71"/>
      <c r="BA8" s="49">
        <v>6</v>
      </c>
      <c r="BB8" s="40"/>
      <c r="BC8" s="15">
        <f>A8</f>
        <v>0</v>
      </c>
      <c r="BD8" s="10">
        <f>IF(A8="","",B8)</f>
        <v>-9500</v>
      </c>
      <c r="BE8" s="10">
        <f>BD8</f>
        <v>-9500</v>
      </c>
      <c r="BF8" s="10">
        <f>BD8</f>
        <v>-9500</v>
      </c>
      <c r="BG8" s="10">
        <f>BF8</f>
        <v>-9500</v>
      </c>
      <c r="BH8" s="72"/>
    </row>
    <row r="9" spans="1:60" x14ac:dyDescent="0.2">
      <c r="A9" s="5">
        <f>IF(ROWS($A$9:A9)&gt;$B$4,"",ROWS($A$9:A9))</f>
        <v>1</v>
      </c>
      <c r="B9" s="8">
        <v>20000</v>
      </c>
      <c r="D9" s="126" t="s">
        <v>51</v>
      </c>
      <c r="E9" s="126"/>
      <c r="F9" s="16">
        <f ca="1">IF(OFFSET(BG8,B4,0,1,1)&lt;0,"NP",COUNT(BG9:BG33))</f>
        <v>1</v>
      </c>
      <c r="AZ9" s="71"/>
      <c r="BA9" s="49">
        <v>7</v>
      </c>
      <c r="BB9" s="40"/>
      <c r="BC9" s="15">
        <f t="shared" ref="BC9:BC33" si="0">A9</f>
        <v>1</v>
      </c>
      <c r="BD9" s="10">
        <f t="shared" ref="BD9:BD33" si="1">IF(A9="","",B9)</f>
        <v>20000</v>
      </c>
      <c r="BE9" s="10">
        <f>IF(BC9="","",IF(BE8&gt;=0,"",BD9+BE8))</f>
        <v>10500</v>
      </c>
      <c r="BF9" s="60">
        <f>IF(A9="","",BD9/(1+$F$4)^BC9)</f>
        <v>16849.199663016007</v>
      </c>
      <c r="BG9" s="10">
        <f>IF(BC9="","",IF(BG8&gt;=0,"",BF9+BG8))</f>
        <v>7349.1996630160065</v>
      </c>
      <c r="BH9" s="72"/>
    </row>
    <row r="10" spans="1:60" ht="16" thickBot="1" x14ac:dyDescent="0.25">
      <c r="A10" s="5">
        <f>IF(ROWS($A$9:A10)&gt;$B$4,"",ROWS($A$9:A10))</f>
        <v>2</v>
      </c>
      <c r="B10" s="8">
        <v>20000</v>
      </c>
      <c r="AZ10" s="71"/>
      <c r="BA10" s="49">
        <v>8</v>
      </c>
      <c r="BB10" s="40"/>
      <c r="BC10" s="15">
        <f t="shared" si="0"/>
        <v>2</v>
      </c>
      <c r="BD10" s="10">
        <f t="shared" si="1"/>
        <v>20000</v>
      </c>
      <c r="BE10" s="10" t="str">
        <f t="shared" ref="BE10:BE33" si="2">IF(BC10="","",IF(BE9&gt;=0,"",BD10+BE9))</f>
        <v/>
      </c>
      <c r="BF10" s="60">
        <f t="shared" ref="BF10:BF33" si="3">IF(A10="","",BD10/(1+$F$4)^BC10)</f>
        <v>14194.776464208935</v>
      </c>
      <c r="BG10" s="10" t="str">
        <f t="shared" ref="BG10:BG33" si="4">IF(BC10="","",IF(BG9&gt;=0,"",BF10+BG9))</f>
        <v/>
      </c>
      <c r="BH10" s="72"/>
    </row>
    <row r="11" spans="1:60" ht="16" thickBot="1" x14ac:dyDescent="0.25">
      <c r="A11" s="5">
        <f>IF(ROWS($A$9:A11)&gt;$B$4,"",ROWS($A$9:A11))</f>
        <v>3</v>
      </c>
      <c r="B11" s="8">
        <v>-50000</v>
      </c>
      <c r="D11" s="88" t="s">
        <v>55</v>
      </c>
      <c r="E11" s="90"/>
      <c r="AZ11" s="71"/>
      <c r="BA11" s="49">
        <v>9</v>
      </c>
      <c r="BB11" s="40"/>
      <c r="BC11" s="15">
        <f t="shared" si="0"/>
        <v>3</v>
      </c>
      <c r="BD11" s="10">
        <f t="shared" si="1"/>
        <v>-50000</v>
      </c>
      <c r="BE11" s="10" t="str">
        <f t="shared" si="2"/>
        <v/>
      </c>
      <c r="BF11" s="60">
        <f t="shared" si="3"/>
        <v>-29896.327852167087</v>
      </c>
      <c r="BG11" s="10" t="str">
        <f t="shared" si="4"/>
        <v/>
      </c>
      <c r="BH11" s="72"/>
    </row>
    <row r="12" spans="1:60" x14ac:dyDescent="0.2">
      <c r="A12" s="5">
        <f>IF(ROWS($A$9:A12)&gt;$B$4,"",ROWS($A$9:A12))</f>
        <v>4</v>
      </c>
      <c r="B12" s="8">
        <v>5000</v>
      </c>
      <c r="D12" s="71"/>
      <c r="E12" s="72"/>
      <c r="AZ12" s="71"/>
      <c r="BA12" s="49">
        <v>10</v>
      </c>
      <c r="BB12" s="40"/>
      <c r="BC12" s="15">
        <f t="shared" si="0"/>
        <v>4</v>
      </c>
      <c r="BD12" s="10">
        <f t="shared" si="1"/>
        <v>5000</v>
      </c>
      <c r="BE12" s="10" t="str">
        <f t="shared" si="2"/>
        <v/>
      </c>
      <c r="BF12" s="60">
        <f t="shared" si="3"/>
        <v>2518.6459858607486</v>
      </c>
      <c r="BG12" s="10" t="str">
        <f t="shared" si="4"/>
        <v/>
      </c>
      <c r="BH12" s="72"/>
    </row>
    <row r="13" spans="1:60" x14ac:dyDescent="0.2">
      <c r="A13" s="5">
        <f>IF(ROWS($A$9:A13)&gt;$B$4,"",ROWS($A$9:A13))</f>
        <v>5</v>
      </c>
      <c r="B13" s="8">
        <v>5000</v>
      </c>
      <c r="D13" s="71"/>
      <c r="E13" s="72"/>
      <c r="AZ13" s="71"/>
      <c r="BA13" s="49">
        <v>11</v>
      </c>
      <c r="BB13" s="40"/>
      <c r="BC13" s="15">
        <f t="shared" si="0"/>
        <v>5</v>
      </c>
      <c r="BD13" s="10">
        <f t="shared" si="1"/>
        <v>5000</v>
      </c>
      <c r="BE13" s="10" t="str">
        <f t="shared" si="2"/>
        <v/>
      </c>
      <c r="BF13" s="60">
        <f t="shared" si="3"/>
        <v>2121.8584548110771</v>
      </c>
      <c r="BG13" s="10" t="str">
        <f t="shared" si="4"/>
        <v/>
      </c>
      <c r="BH13" s="72"/>
    </row>
    <row r="14" spans="1:60" x14ac:dyDescent="0.2">
      <c r="A14" s="5">
        <f>IF(ROWS($A$9:A14)&gt;$B$4,"",ROWS($A$9:A14))</f>
        <v>6</v>
      </c>
      <c r="B14" s="8">
        <v>5000</v>
      </c>
      <c r="D14" s="71"/>
      <c r="E14" s="72"/>
      <c r="AZ14" s="71"/>
      <c r="BA14" s="49">
        <v>12</v>
      </c>
      <c r="BB14" s="40"/>
      <c r="BC14" s="15">
        <f t="shared" si="0"/>
        <v>6</v>
      </c>
      <c r="BD14" s="10">
        <f t="shared" si="1"/>
        <v>5000</v>
      </c>
      <c r="BE14" s="10" t="str">
        <f t="shared" si="2"/>
        <v/>
      </c>
      <c r="BF14" s="60">
        <f t="shared" si="3"/>
        <v>1787.580838088523</v>
      </c>
      <c r="BG14" s="10" t="str">
        <f t="shared" si="4"/>
        <v/>
      </c>
      <c r="BH14" s="72"/>
    </row>
    <row r="15" spans="1:60" x14ac:dyDescent="0.2">
      <c r="A15" s="5">
        <f>IF(ROWS($A$9:A15)&gt;$B$4,"",ROWS($A$9:A15))</f>
        <v>7</v>
      </c>
      <c r="B15" s="8">
        <v>5000</v>
      </c>
      <c r="D15" s="71"/>
      <c r="E15" s="72"/>
      <c r="AZ15" s="71"/>
      <c r="BA15" s="49">
        <v>13</v>
      </c>
      <c r="BB15" s="40"/>
      <c r="BC15" s="15">
        <f t="shared" si="0"/>
        <v>7</v>
      </c>
      <c r="BD15" s="10">
        <f t="shared" si="1"/>
        <v>5000</v>
      </c>
      <c r="BE15" s="10" t="str">
        <f t="shared" si="2"/>
        <v/>
      </c>
      <c r="BF15" s="60">
        <f t="shared" si="3"/>
        <v>1505.9653227367507</v>
      </c>
      <c r="BG15" s="10" t="str">
        <f t="shared" si="4"/>
        <v/>
      </c>
      <c r="BH15" s="72"/>
    </row>
    <row r="16" spans="1:60" x14ac:dyDescent="0.2">
      <c r="A16" s="5" t="str">
        <f>IF(ROWS($A$9:A16)&gt;$B$4,"",ROWS($A$9:A16))</f>
        <v/>
      </c>
      <c r="B16" s="8">
        <v>15000</v>
      </c>
      <c r="D16" s="71"/>
      <c r="E16" s="72"/>
      <c r="AZ16" s="71"/>
      <c r="BA16" s="49">
        <v>14</v>
      </c>
      <c r="BB16" s="40"/>
      <c r="BC16" s="15" t="str">
        <f t="shared" si="0"/>
        <v/>
      </c>
      <c r="BD16" s="10" t="str">
        <f t="shared" si="1"/>
        <v/>
      </c>
      <c r="BE16" s="10" t="str">
        <f t="shared" si="2"/>
        <v/>
      </c>
      <c r="BF16" s="60" t="str">
        <f t="shared" si="3"/>
        <v/>
      </c>
      <c r="BG16" s="10" t="str">
        <f t="shared" si="4"/>
        <v/>
      </c>
      <c r="BH16" s="72"/>
    </row>
    <row r="17" spans="1:60" ht="16" thickBot="1" x14ac:dyDescent="0.25">
      <c r="A17" s="5" t="str">
        <f>IF(ROWS($A$9:A17)&gt;$B$4,"",ROWS($A$9:A17))</f>
        <v/>
      </c>
      <c r="B17" s="8">
        <v>15000</v>
      </c>
      <c r="D17" s="78"/>
      <c r="E17" s="77"/>
      <c r="AZ17" s="71"/>
      <c r="BA17" s="49">
        <v>15</v>
      </c>
      <c r="BB17" s="40"/>
      <c r="BC17" s="15" t="str">
        <f t="shared" si="0"/>
        <v/>
      </c>
      <c r="BD17" s="10" t="str">
        <f t="shared" si="1"/>
        <v/>
      </c>
      <c r="BE17" s="10" t="str">
        <f t="shared" si="2"/>
        <v/>
      </c>
      <c r="BF17" s="60" t="str">
        <f t="shared" si="3"/>
        <v/>
      </c>
      <c r="BG17" s="10" t="str">
        <f t="shared" si="4"/>
        <v/>
      </c>
      <c r="BH17" s="72"/>
    </row>
    <row r="18" spans="1:60" x14ac:dyDescent="0.2">
      <c r="A18" s="5" t="str">
        <f>IF(ROWS($A$9:A18)&gt;$B$4,"",ROWS($A$9:A18))</f>
        <v/>
      </c>
      <c r="B18" s="8">
        <v>15000</v>
      </c>
      <c r="AZ18" s="71"/>
      <c r="BA18" s="49">
        <v>16</v>
      </c>
      <c r="BB18" s="40"/>
      <c r="BC18" s="15" t="str">
        <f t="shared" si="0"/>
        <v/>
      </c>
      <c r="BD18" s="10" t="str">
        <f t="shared" si="1"/>
        <v/>
      </c>
      <c r="BE18" s="10" t="str">
        <f t="shared" si="2"/>
        <v/>
      </c>
      <c r="BF18" s="60" t="str">
        <f t="shared" si="3"/>
        <v/>
      </c>
      <c r="BG18" s="10" t="str">
        <f t="shared" si="4"/>
        <v/>
      </c>
      <c r="BH18" s="72"/>
    </row>
    <row r="19" spans="1:60" x14ac:dyDescent="0.2">
      <c r="A19" s="5" t="str">
        <f>IF(ROWS($A$9:A19)&gt;$B$4,"",ROWS($A$9:A19))</f>
        <v/>
      </c>
      <c r="B19" s="8">
        <v>15000</v>
      </c>
      <c r="D19" s="12"/>
      <c r="AZ19" s="71"/>
      <c r="BA19" s="49">
        <v>17</v>
      </c>
      <c r="BB19" s="40"/>
      <c r="BC19" s="15" t="str">
        <f t="shared" si="0"/>
        <v/>
      </c>
      <c r="BD19" s="10" t="str">
        <f t="shared" si="1"/>
        <v/>
      </c>
      <c r="BE19" s="10" t="str">
        <f t="shared" si="2"/>
        <v/>
      </c>
      <c r="BF19" s="60" t="str">
        <f t="shared" si="3"/>
        <v/>
      </c>
      <c r="BG19" s="10" t="str">
        <f t="shared" si="4"/>
        <v/>
      </c>
      <c r="BH19" s="72"/>
    </row>
    <row r="20" spans="1:60" x14ac:dyDescent="0.2">
      <c r="A20" s="5" t="str">
        <f>IF(ROWS($A$9:A20)&gt;$B$4,"",ROWS($A$9:A20))</f>
        <v/>
      </c>
      <c r="B20" s="8">
        <v>15000</v>
      </c>
      <c r="AZ20" s="71"/>
      <c r="BA20" s="49">
        <v>18</v>
      </c>
      <c r="BB20" s="40"/>
      <c r="BC20" s="15" t="str">
        <f t="shared" si="0"/>
        <v/>
      </c>
      <c r="BD20" s="10" t="str">
        <f t="shared" si="1"/>
        <v/>
      </c>
      <c r="BE20" s="10" t="str">
        <f t="shared" si="2"/>
        <v/>
      </c>
      <c r="BF20" s="60" t="str">
        <f t="shared" si="3"/>
        <v/>
      </c>
      <c r="BG20" s="10" t="str">
        <f t="shared" si="4"/>
        <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11" priority="6">
      <formula>$A8=""</formula>
    </cfRule>
  </conditionalFormatting>
  <conditionalFormatting sqref="BC8:BG33">
    <cfRule type="expression" dxfId="10" priority="1">
      <formula>$BC8=""</formula>
    </cfRule>
  </conditionalFormatting>
  <dataValidations count="4">
    <dataValidation type="custom" allowBlank="1" showInputMessage="1" showErrorMessage="1" error="The expected cashflow from year 1 onwards should be a number" sqref="B9:B33" xr:uid="{501AE9EA-EA75-424C-AE94-3AE4E63C9820}">
      <formula1>ISNUMBER(B9)</formula1>
    </dataValidation>
    <dataValidation type="custom" allowBlank="1" showInputMessage="1" showErrorMessage="1" error="The Expected cashflow for year 0 should be negative" sqref="B8" xr:uid="{FE230EBB-5BEE-4253-8E62-4305C007BD67}">
      <formula1>B8&lt;0</formula1>
    </dataValidation>
    <dataValidation type="decimal" allowBlank="1" showInputMessage="1" showErrorMessage="1" errorTitle="Beta Value Input Error" error="Please enter decimal value between 0 and 3. If you want to make changes please contact an expert " sqref="B5" xr:uid="{19D8530F-3243-4CA1-B91C-F677CFBABE6B}">
      <formula1>0</formula1>
      <formula2>3</formula2>
    </dataValidation>
    <dataValidation type="list" allowBlank="1" showInputMessage="1" showErrorMessage="1" sqref="B4" xr:uid="{49DD9519-6A27-4727-80C7-43556A3F776A}">
      <formula1>$BA$5:$BA$27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GoToSummary">
                <anchor moveWithCells="1" sizeWithCells="1">
                  <from>
                    <xdr:col>3</xdr:col>
                    <xdr:colOff>304800</xdr:colOff>
                    <xdr:row>11</xdr:row>
                    <xdr:rowOff>165100</xdr:rowOff>
                  </from>
                  <to>
                    <xdr:col>4</xdr:col>
                    <xdr:colOff>1028700</xdr:colOff>
                    <xdr:row>13</xdr:row>
                    <xdr:rowOff>165100</xdr:rowOff>
                  </to>
                </anchor>
              </controlPr>
            </control>
          </mc:Choice>
        </mc:AlternateContent>
        <mc:AlternateContent xmlns:mc="http://schemas.openxmlformats.org/markup-compatibility/2006">
          <mc:Choice Requires="x14">
            <control shapeId="12290" r:id="rId4" name="Button 2">
              <controlPr defaultSize="0" print="0" autoFill="0" autoPict="0" macro="[0]!GoToNPV_Profile">
                <anchor moveWithCells="1" sizeWithCells="1">
                  <from>
                    <xdr:col>3</xdr:col>
                    <xdr:colOff>292100</xdr:colOff>
                    <xdr:row>14</xdr:row>
                    <xdr:rowOff>88900</xdr:rowOff>
                  </from>
                  <to>
                    <xdr:col>4</xdr:col>
                    <xdr:colOff>1028700</xdr:colOff>
                    <xdr:row>16</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D2056-BADA-4B6C-804C-84A0C77F7A6E}">
  <sheetPr codeName="Sheet10">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5" customWidth="1"/>
    <col min="58" max="58" width="15.5" customWidth="1"/>
    <col min="59" max="59" width="13.3320312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12</v>
      </c>
      <c r="D4" s="126" t="s">
        <v>3</v>
      </c>
      <c r="E4" s="126"/>
      <c r="F4" s="9">
        <f>RfRate+ProjectG!B5*MRP</f>
        <v>0.10300000000000001</v>
      </c>
      <c r="I4" s="103"/>
      <c r="J4" s="104"/>
      <c r="K4" s="70"/>
      <c r="AZ4" s="71"/>
      <c r="BA4" s="4" t="s">
        <v>11</v>
      </c>
      <c r="BB4" s="40"/>
      <c r="BC4" s="40"/>
      <c r="BD4" s="103"/>
      <c r="BE4" s="104"/>
      <c r="BF4" s="70"/>
      <c r="BG4" s="40"/>
      <c r="BH4" s="72"/>
    </row>
    <row r="5" spans="1:60" x14ac:dyDescent="0.2">
      <c r="A5" s="5" t="s">
        <v>8</v>
      </c>
      <c r="B5" s="6">
        <v>0.9</v>
      </c>
      <c r="D5" s="126" t="s">
        <v>4</v>
      </c>
      <c r="E5" s="126"/>
      <c r="F5" s="10">
        <f ca="1">$B$8+NPV($F$4,B9:OFFSET(B8,B4,0))</f>
        <v>-4029.0093362726257</v>
      </c>
      <c r="AZ5" s="71"/>
      <c r="BA5" s="49">
        <v>3</v>
      </c>
      <c r="BB5" s="40"/>
      <c r="BC5" s="40"/>
      <c r="BD5" s="40"/>
      <c r="BE5" s="40"/>
      <c r="BF5" s="40"/>
      <c r="BG5" s="40"/>
      <c r="BH5" s="72"/>
    </row>
    <row r="6" spans="1:60" x14ac:dyDescent="0.2">
      <c r="D6" s="126" t="s">
        <v>5</v>
      </c>
      <c r="E6" s="126"/>
      <c r="F6" s="11">
        <f ca="1">SUM($B$8:OFFSET(B8,B4,0))/(-$B$8*$B$4)</f>
        <v>5.4166666666666669E-2</v>
      </c>
      <c r="AZ6" s="71"/>
      <c r="BA6" s="49">
        <v>4</v>
      </c>
      <c r="BB6" s="40"/>
      <c r="BC6" s="127" t="s">
        <v>49</v>
      </c>
      <c r="BD6" s="127"/>
      <c r="BE6" s="127"/>
      <c r="BF6" s="116" t="s">
        <v>51</v>
      </c>
      <c r="BG6" s="116"/>
      <c r="BH6" s="72"/>
    </row>
    <row r="7" spans="1:60" x14ac:dyDescent="0.2">
      <c r="A7" s="4" t="s">
        <v>9</v>
      </c>
      <c r="B7" s="4" t="s">
        <v>10</v>
      </c>
      <c r="D7" s="126" t="s">
        <v>6</v>
      </c>
      <c r="E7" s="126"/>
      <c r="F7" s="11">
        <f ca="1">IFERROR(IRR(B8:OFFSET(B8,B4,0),F6),"No IRR")</f>
        <v>8.2725205275072211E-2</v>
      </c>
      <c r="AZ7" s="71"/>
      <c r="BA7" s="49">
        <v>5</v>
      </c>
      <c r="BB7" s="40"/>
      <c r="BC7" s="21" t="s">
        <v>9</v>
      </c>
      <c r="BD7" s="21" t="s">
        <v>10</v>
      </c>
      <c r="BE7" s="21" t="s">
        <v>47</v>
      </c>
      <c r="BF7" s="21" t="s">
        <v>59</v>
      </c>
      <c r="BG7" s="21" t="s">
        <v>47</v>
      </c>
      <c r="BH7" s="72"/>
    </row>
    <row r="8" spans="1:60" x14ac:dyDescent="0.2">
      <c r="A8" s="5">
        <v>0</v>
      </c>
      <c r="B8" s="8">
        <v>-40000</v>
      </c>
      <c r="D8" s="126" t="s">
        <v>48</v>
      </c>
      <c r="E8" s="126"/>
      <c r="F8" s="16">
        <f ca="1">IF(OFFSET(BE8,B4,0,1,1)&lt;0,"NP",COUNT(BE9:BE33))</f>
        <v>8</v>
      </c>
      <c r="AZ8" s="71"/>
      <c r="BA8" s="49">
        <v>6</v>
      </c>
      <c r="BB8" s="40"/>
      <c r="BC8" s="15">
        <f>A8</f>
        <v>0</v>
      </c>
      <c r="BD8" s="10">
        <f>IF(A8="","",B8)</f>
        <v>-40000</v>
      </c>
      <c r="BE8" s="10">
        <f>BD8</f>
        <v>-40000</v>
      </c>
      <c r="BF8" s="10">
        <f>BD8</f>
        <v>-40000</v>
      </c>
      <c r="BG8" s="10">
        <f>BF8</f>
        <v>-40000</v>
      </c>
      <c r="BH8" s="72"/>
    </row>
    <row r="9" spans="1:60" x14ac:dyDescent="0.2">
      <c r="A9" s="5">
        <f>IF(ROWS($A$9:A9)&gt;$B$4,"",ROWS($A$9:A9))</f>
        <v>1</v>
      </c>
      <c r="B9" s="8">
        <v>5000</v>
      </c>
      <c r="D9" s="126" t="s">
        <v>51</v>
      </c>
      <c r="E9" s="126"/>
      <c r="F9" s="16" t="str">
        <f ca="1">IF(OFFSET(BG8,B4,0,1,1)&lt;0,"NP",COUNT(BG9:BG33))</f>
        <v>NP</v>
      </c>
      <c r="AZ9" s="71"/>
      <c r="BA9" s="49">
        <v>7</v>
      </c>
      <c r="BB9" s="40"/>
      <c r="BC9" s="15">
        <f t="shared" ref="BC9:BC33" si="0">A9</f>
        <v>1</v>
      </c>
      <c r="BD9" s="10">
        <f t="shared" ref="BD9:BD33" si="1">IF(A9="","",B9)</f>
        <v>5000</v>
      </c>
      <c r="BE9" s="10">
        <f>IF(BC9="","",IF(BE8&gt;=0,"",BD9+BE8))</f>
        <v>-35000</v>
      </c>
      <c r="BF9" s="60">
        <f>IF(A9="","",BD9/(1+$F$4)^BC9)</f>
        <v>4533.0915684496831</v>
      </c>
      <c r="BG9" s="10">
        <f>IF(BC9="","",IF(BG8&gt;=0,"",BF9+BG8))</f>
        <v>-35466.908431550313</v>
      </c>
      <c r="BH9" s="72"/>
    </row>
    <row r="10" spans="1:60" ht="16" thickBot="1" x14ac:dyDescent="0.25">
      <c r="A10" s="5">
        <f>IF(ROWS($A$9:A10)&gt;$B$4,"",ROWS($A$9:A10))</f>
        <v>2</v>
      </c>
      <c r="B10" s="8">
        <v>5000</v>
      </c>
      <c r="AZ10" s="71"/>
      <c r="BA10" s="49">
        <v>8</v>
      </c>
      <c r="BB10" s="40"/>
      <c r="BC10" s="15">
        <f t="shared" si="0"/>
        <v>2</v>
      </c>
      <c r="BD10" s="10">
        <f t="shared" si="1"/>
        <v>5000</v>
      </c>
      <c r="BE10" s="10">
        <f t="shared" ref="BE10:BE33" si="2">IF(BC10="","",IF(BE9&gt;=0,"",BD10+BE9))</f>
        <v>-30000</v>
      </c>
      <c r="BF10" s="60">
        <f t="shared" ref="BF10:BF33" si="3">IF(A10="","",BD10/(1+$F$4)^BC10)</f>
        <v>4109.7838335899205</v>
      </c>
      <c r="BG10" s="10">
        <f t="shared" ref="BG10:BG33" si="4">IF(BC10="","",IF(BG9&gt;=0,"",BF10+BG9))</f>
        <v>-31357.124597960392</v>
      </c>
      <c r="BH10" s="72"/>
    </row>
    <row r="11" spans="1:60" ht="16" thickBot="1" x14ac:dyDescent="0.25">
      <c r="A11" s="5">
        <f>IF(ROWS($A$9:A11)&gt;$B$4,"",ROWS($A$9:A11))</f>
        <v>3</v>
      </c>
      <c r="B11" s="8">
        <v>5000</v>
      </c>
      <c r="D11" s="88" t="s">
        <v>55</v>
      </c>
      <c r="E11" s="90"/>
      <c r="AZ11" s="71"/>
      <c r="BA11" s="49">
        <v>9</v>
      </c>
      <c r="BB11" s="40"/>
      <c r="BC11" s="15">
        <f t="shared" si="0"/>
        <v>3</v>
      </c>
      <c r="BD11" s="10">
        <f t="shared" si="1"/>
        <v>5000</v>
      </c>
      <c r="BE11" s="10">
        <f t="shared" si="2"/>
        <v>-25000</v>
      </c>
      <c r="BF11" s="60">
        <f t="shared" si="3"/>
        <v>3726.0052888394566</v>
      </c>
      <c r="BG11" s="10">
        <f t="shared" si="4"/>
        <v>-27631.119309120935</v>
      </c>
      <c r="BH11" s="72"/>
    </row>
    <row r="12" spans="1:60" x14ac:dyDescent="0.2">
      <c r="A12" s="5">
        <f>IF(ROWS($A$9:A12)&gt;$B$4,"",ROWS($A$9:A12))</f>
        <v>4</v>
      </c>
      <c r="B12" s="8">
        <v>5000</v>
      </c>
      <c r="D12" s="71"/>
      <c r="E12" s="72"/>
      <c r="AZ12" s="71"/>
      <c r="BA12" s="49">
        <v>10</v>
      </c>
      <c r="BB12" s="40"/>
      <c r="BC12" s="15">
        <f t="shared" si="0"/>
        <v>4</v>
      </c>
      <c r="BD12" s="10">
        <f t="shared" si="1"/>
        <v>5000</v>
      </c>
      <c r="BE12" s="10">
        <f t="shared" si="2"/>
        <v>-20000</v>
      </c>
      <c r="BF12" s="60">
        <f t="shared" si="3"/>
        <v>3378.0646317674127</v>
      </c>
      <c r="BG12" s="10">
        <f t="shared" si="4"/>
        <v>-24253.054677353524</v>
      </c>
      <c r="BH12" s="72"/>
    </row>
    <row r="13" spans="1:60" x14ac:dyDescent="0.2">
      <c r="A13" s="5">
        <f>IF(ROWS($A$9:A13)&gt;$B$4,"",ROWS($A$9:A13))</f>
        <v>5</v>
      </c>
      <c r="B13" s="8">
        <v>5000</v>
      </c>
      <c r="D13" s="71"/>
      <c r="E13" s="72"/>
      <c r="AZ13" s="71"/>
      <c r="BA13" s="49">
        <v>11</v>
      </c>
      <c r="BB13" s="40"/>
      <c r="BC13" s="15">
        <f t="shared" si="0"/>
        <v>5</v>
      </c>
      <c r="BD13" s="10">
        <f t="shared" si="1"/>
        <v>5000</v>
      </c>
      <c r="BE13" s="10">
        <f t="shared" si="2"/>
        <v>-15000</v>
      </c>
      <c r="BF13" s="60">
        <f t="shared" si="3"/>
        <v>3062.6152599885886</v>
      </c>
      <c r="BG13" s="10">
        <f t="shared" si="4"/>
        <v>-21190.439417364934</v>
      </c>
      <c r="BH13" s="72"/>
    </row>
    <row r="14" spans="1:60" x14ac:dyDescent="0.2">
      <c r="A14" s="5">
        <f>IF(ROWS($A$9:A14)&gt;$B$4,"",ROWS($A$9:A14))</f>
        <v>6</v>
      </c>
      <c r="B14" s="8">
        <v>5000</v>
      </c>
      <c r="D14" s="71"/>
      <c r="E14" s="72"/>
      <c r="AZ14" s="71"/>
      <c r="BA14" s="49">
        <v>12</v>
      </c>
      <c r="BB14" s="40"/>
      <c r="BC14" s="15">
        <f t="shared" si="0"/>
        <v>6</v>
      </c>
      <c r="BD14" s="10">
        <f t="shared" si="1"/>
        <v>5000</v>
      </c>
      <c r="BE14" s="10">
        <f t="shared" si="2"/>
        <v>-10000</v>
      </c>
      <c r="BF14" s="60">
        <f t="shared" si="3"/>
        <v>2776.6230824919207</v>
      </c>
      <c r="BG14" s="10">
        <f t="shared" si="4"/>
        <v>-18413.816334873012</v>
      </c>
      <c r="BH14" s="72"/>
    </row>
    <row r="15" spans="1:60" x14ac:dyDescent="0.2">
      <c r="A15" s="5">
        <f>IF(ROWS($A$9:A15)&gt;$B$4,"",ROWS($A$9:A15))</f>
        <v>7</v>
      </c>
      <c r="B15" s="8">
        <v>6000</v>
      </c>
      <c r="D15" s="71"/>
      <c r="E15" s="72"/>
      <c r="AZ15" s="71"/>
      <c r="BA15" s="49">
        <v>13</v>
      </c>
      <c r="BB15" s="40"/>
      <c r="BC15" s="15">
        <f t="shared" si="0"/>
        <v>7</v>
      </c>
      <c r="BD15" s="10">
        <f t="shared" si="1"/>
        <v>6000</v>
      </c>
      <c r="BE15" s="10">
        <f t="shared" si="2"/>
        <v>-4000</v>
      </c>
      <c r="BF15" s="60">
        <f t="shared" si="3"/>
        <v>3020.8048041616539</v>
      </c>
      <c r="BG15" s="10">
        <f t="shared" si="4"/>
        <v>-15393.011530711359</v>
      </c>
      <c r="BH15" s="72"/>
    </row>
    <row r="16" spans="1:60" x14ac:dyDescent="0.2">
      <c r="A16" s="5">
        <f>IF(ROWS($A$9:A16)&gt;$B$4,"",ROWS($A$9:A16))</f>
        <v>8</v>
      </c>
      <c r="B16" s="8">
        <v>6000</v>
      </c>
      <c r="D16" s="71"/>
      <c r="E16" s="72"/>
      <c r="AZ16" s="71"/>
      <c r="BA16" s="49">
        <v>14</v>
      </c>
      <c r="BB16" s="40"/>
      <c r="BC16" s="15">
        <f t="shared" si="0"/>
        <v>8</v>
      </c>
      <c r="BD16" s="10">
        <f t="shared" si="1"/>
        <v>6000</v>
      </c>
      <c r="BE16" s="10">
        <f t="shared" si="2"/>
        <v>2000</v>
      </c>
      <c r="BF16" s="60">
        <f t="shared" si="3"/>
        <v>2738.7169575354978</v>
      </c>
      <c r="BG16" s="10">
        <f t="shared" si="4"/>
        <v>-12654.294573175861</v>
      </c>
      <c r="BH16" s="72"/>
    </row>
    <row r="17" spans="1:60" ht="16" thickBot="1" x14ac:dyDescent="0.25">
      <c r="A17" s="5">
        <f>IF(ROWS($A$9:A17)&gt;$B$4,"",ROWS($A$9:A17))</f>
        <v>9</v>
      </c>
      <c r="B17" s="8">
        <v>6000</v>
      </c>
      <c r="D17" s="78"/>
      <c r="E17" s="77"/>
      <c r="AZ17" s="71"/>
      <c r="BA17" s="49">
        <v>15</v>
      </c>
      <c r="BB17" s="40"/>
      <c r="BC17" s="15">
        <f t="shared" si="0"/>
        <v>9</v>
      </c>
      <c r="BD17" s="10">
        <f t="shared" si="1"/>
        <v>6000</v>
      </c>
      <c r="BE17" s="10" t="str">
        <f t="shared" si="2"/>
        <v/>
      </c>
      <c r="BF17" s="60">
        <f t="shared" si="3"/>
        <v>2482.9709497148665</v>
      </c>
      <c r="BG17" s="10">
        <f t="shared" si="4"/>
        <v>-10171.323623460994</v>
      </c>
      <c r="BH17" s="72"/>
    </row>
    <row r="18" spans="1:60" x14ac:dyDescent="0.2">
      <c r="A18" s="5">
        <f>IF(ROWS($A$9:A18)&gt;$B$4,"",ROWS($A$9:A18))</f>
        <v>10</v>
      </c>
      <c r="B18" s="8">
        <v>6000</v>
      </c>
      <c r="AZ18" s="71"/>
      <c r="BA18" s="49">
        <v>16</v>
      </c>
      <c r="BB18" s="40"/>
      <c r="BC18" s="15">
        <f t="shared" si="0"/>
        <v>10</v>
      </c>
      <c r="BD18" s="10">
        <f t="shared" si="1"/>
        <v>6000</v>
      </c>
      <c r="BE18" s="10" t="str">
        <f t="shared" si="2"/>
        <v/>
      </c>
      <c r="BF18" s="60">
        <f t="shared" si="3"/>
        <v>2251.1069353715925</v>
      </c>
      <c r="BG18" s="10">
        <f t="shared" si="4"/>
        <v>-7920.2166880894019</v>
      </c>
      <c r="BH18" s="72"/>
    </row>
    <row r="19" spans="1:60" x14ac:dyDescent="0.2">
      <c r="A19" s="5">
        <f>IF(ROWS($A$9:A19)&gt;$B$4,"",ROWS($A$9:A19))</f>
        <v>11</v>
      </c>
      <c r="B19" s="8">
        <v>6000</v>
      </c>
      <c r="D19" s="12"/>
      <c r="AZ19" s="71"/>
      <c r="BA19" s="49">
        <v>17</v>
      </c>
      <c r="BB19" s="40"/>
      <c r="BC19" s="15">
        <f t="shared" si="0"/>
        <v>11</v>
      </c>
      <c r="BD19" s="10">
        <f t="shared" si="1"/>
        <v>6000</v>
      </c>
      <c r="BE19" s="10" t="str">
        <f t="shared" si="2"/>
        <v/>
      </c>
      <c r="BF19" s="60">
        <f t="shared" si="3"/>
        <v>2040.8947736823141</v>
      </c>
      <c r="BG19" s="10">
        <f t="shared" si="4"/>
        <v>-5879.3219144070881</v>
      </c>
      <c r="BH19" s="72"/>
    </row>
    <row r="20" spans="1:60" x14ac:dyDescent="0.2">
      <c r="A20" s="5">
        <f>IF(ROWS($A$9:A20)&gt;$B$4,"",ROWS($A$9:A20))</f>
        <v>12</v>
      </c>
      <c r="B20" s="8">
        <v>6000</v>
      </c>
      <c r="AZ20" s="71"/>
      <c r="BA20" s="49">
        <v>18</v>
      </c>
      <c r="BB20" s="40"/>
      <c r="BC20" s="15">
        <f t="shared" si="0"/>
        <v>12</v>
      </c>
      <c r="BD20" s="10">
        <f t="shared" si="1"/>
        <v>6000</v>
      </c>
      <c r="BE20" s="10" t="str">
        <f t="shared" si="2"/>
        <v/>
      </c>
      <c r="BF20" s="60">
        <f t="shared" si="3"/>
        <v>1850.312578134464</v>
      </c>
      <c r="BG20" s="10">
        <f t="shared" si="4"/>
        <v>-4029.0093362726238</v>
      </c>
      <c r="BH20" s="72"/>
    </row>
    <row r="21" spans="1:60" x14ac:dyDescent="0.2">
      <c r="A21" s="5" t="str">
        <f>IF(ROWS($A$9:A21)&gt;$B$4,"",ROWS($A$9:A21))</f>
        <v/>
      </c>
      <c r="B21" s="8">
        <v>15000</v>
      </c>
      <c r="AZ21" s="71"/>
      <c r="BA21" s="49">
        <v>19</v>
      </c>
      <c r="BB21" s="40"/>
      <c r="BC21" s="15" t="str">
        <f t="shared" si="0"/>
        <v/>
      </c>
      <c r="BD21" s="10" t="str">
        <f t="shared" si="1"/>
        <v/>
      </c>
      <c r="BE21" s="10" t="str">
        <f t="shared" si="2"/>
        <v/>
      </c>
      <c r="BF21" s="60" t="str">
        <f t="shared" si="3"/>
        <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9" priority="6">
      <formula>$A8=""</formula>
    </cfRule>
  </conditionalFormatting>
  <conditionalFormatting sqref="BC8:BG33">
    <cfRule type="expression" dxfId="8" priority="1">
      <formula>$BC8=""</formula>
    </cfRule>
  </conditionalFormatting>
  <dataValidations count="4">
    <dataValidation type="list" allowBlank="1" showInputMessage="1" showErrorMessage="1" sqref="B4" xr:uid="{BCA54AAD-B14C-4D72-88EA-232D5FDDD562}">
      <formula1>$BA$5:$BA$27</formula1>
    </dataValidation>
    <dataValidation type="decimal" allowBlank="1" showInputMessage="1" showErrorMessage="1" errorTitle="Beta Value Input Error" error="Please enter decimal value between 0 and 3. If you want to make changes please contact an expert " sqref="B5" xr:uid="{B1969581-8675-4E93-AB5A-ACD0656423A5}">
      <formula1>0</formula1>
      <formula2>3</formula2>
    </dataValidation>
    <dataValidation type="custom" allowBlank="1" showInputMessage="1" showErrorMessage="1" error="The Expected cashflow for year 0 should be negative" sqref="B8" xr:uid="{EDDB0746-1D0B-462E-B863-EEB4493F94B5}">
      <formula1>B8&lt;0</formula1>
    </dataValidation>
    <dataValidation type="custom" allowBlank="1" showInputMessage="1" showErrorMessage="1" error="The expected cashflow from year 1 onwards should be a number" sqref="B9:B33" xr:uid="{72B55A76-37B9-4834-9EFA-7A2A97FB81A9}">
      <formula1>ISNUMBER(B9)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GoToSummary">
                <anchor moveWithCells="1" sizeWithCells="1">
                  <from>
                    <xdr:col>3</xdr:col>
                    <xdr:colOff>279400</xdr:colOff>
                    <xdr:row>11</xdr:row>
                    <xdr:rowOff>165100</xdr:rowOff>
                  </from>
                  <to>
                    <xdr:col>4</xdr:col>
                    <xdr:colOff>1016000</xdr:colOff>
                    <xdr:row>13</xdr:row>
                    <xdr:rowOff>177800</xdr:rowOff>
                  </to>
                </anchor>
              </controlPr>
            </control>
          </mc:Choice>
        </mc:AlternateContent>
        <mc:AlternateContent xmlns:mc="http://schemas.openxmlformats.org/markup-compatibility/2006">
          <mc:Choice Requires="x14">
            <control shapeId="13314" r:id="rId4" name="Button 2">
              <controlPr defaultSize="0" print="0" autoFill="0" autoPict="0" macro="[0]!GoToNPV_Profile">
                <anchor moveWithCells="1" sizeWithCells="1">
                  <from>
                    <xdr:col>3</xdr:col>
                    <xdr:colOff>266700</xdr:colOff>
                    <xdr:row>14</xdr:row>
                    <xdr:rowOff>101600</xdr:rowOff>
                  </from>
                  <to>
                    <xdr:col>4</xdr:col>
                    <xdr:colOff>1016000</xdr:colOff>
                    <xdr:row>16</xdr:row>
                    <xdr:rowOff>76200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ED19C-4EA8-401F-ADAE-0CF0D617BACC}">
  <sheetPr codeName="Sheet11">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5" customWidth="1"/>
    <col min="58" max="58" width="14.5" customWidth="1"/>
    <col min="59" max="59" width="13.8320312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13</v>
      </c>
      <c r="D4" s="126" t="s">
        <v>3</v>
      </c>
      <c r="E4" s="126"/>
      <c r="F4" s="9">
        <f>RfRate+ProjectH!B5*MRP</f>
        <v>4.7E-2</v>
      </c>
      <c r="I4" s="103"/>
      <c r="J4" s="104"/>
      <c r="K4" s="70"/>
      <c r="AZ4" s="71"/>
      <c r="BA4" s="4" t="s">
        <v>11</v>
      </c>
      <c r="BB4" s="40"/>
      <c r="BC4" s="40"/>
      <c r="BD4" s="103"/>
      <c r="BE4" s="104"/>
      <c r="BF4" s="70"/>
      <c r="BG4" s="40"/>
      <c r="BH4" s="72"/>
    </row>
    <row r="5" spans="1:60" x14ac:dyDescent="0.2">
      <c r="A5" s="5" t="s">
        <v>8</v>
      </c>
      <c r="B5" s="6">
        <v>0.1</v>
      </c>
      <c r="D5" s="126" t="s">
        <v>4</v>
      </c>
      <c r="E5" s="126"/>
      <c r="F5" s="10">
        <f ca="1">$B$8+NPV($F$4,B9:OFFSET(B8,B4,0))</f>
        <v>78483.410638966772</v>
      </c>
      <c r="AZ5" s="71"/>
      <c r="BA5" s="49">
        <v>3</v>
      </c>
      <c r="BB5" s="40"/>
      <c r="BC5" s="40"/>
      <c r="BD5" s="40"/>
      <c r="BE5" s="40"/>
      <c r="BF5" s="40"/>
      <c r="BG5" s="40"/>
      <c r="BH5" s="72"/>
    </row>
    <row r="6" spans="1:60" x14ac:dyDescent="0.2">
      <c r="D6" s="126" t="s">
        <v>5</v>
      </c>
      <c r="E6" s="126"/>
      <c r="F6" s="11">
        <f ca="1">SUM($B$8:OFFSET(B8,B4,0))/(-$B$8*$B$4)</f>
        <v>0.15384615384615385</v>
      </c>
      <c r="AZ6" s="71"/>
      <c r="BA6" s="49">
        <v>4</v>
      </c>
      <c r="BB6" s="40"/>
      <c r="BC6" s="127" t="s">
        <v>49</v>
      </c>
      <c r="BD6" s="127"/>
      <c r="BE6" s="127"/>
      <c r="BF6" s="129" t="s">
        <v>51</v>
      </c>
      <c r="BG6" s="129"/>
      <c r="BH6" s="72"/>
    </row>
    <row r="7" spans="1:60" x14ac:dyDescent="0.2">
      <c r="A7" s="4" t="s">
        <v>9</v>
      </c>
      <c r="B7" s="4" t="s">
        <v>10</v>
      </c>
      <c r="D7" s="126" t="s">
        <v>6</v>
      </c>
      <c r="E7" s="126"/>
      <c r="F7" s="11">
        <f ca="1">IFERROR(IRR(B8:OFFSET(B8,B4,0),F6),"No IRR")</f>
        <v>0.21177113562717276</v>
      </c>
      <c r="AZ7" s="71"/>
      <c r="BA7" s="49">
        <v>5</v>
      </c>
      <c r="BB7" s="40"/>
      <c r="BC7" s="4" t="s">
        <v>9</v>
      </c>
      <c r="BD7" s="4" t="s">
        <v>10</v>
      </c>
      <c r="BE7" s="4" t="s">
        <v>47</v>
      </c>
      <c r="BF7" s="4" t="s">
        <v>59</v>
      </c>
      <c r="BG7" s="4" t="s">
        <v>47</v>
      </c>
      <c r="BH7" s="72"/>
    </row>
    <row r="8" spans="1:60" x14ac:dyDescent="0.2">
      <c r="A8" s="5">
        <v>0</v>
      </c>
      <c r="B8" s="8">
        <v>-65000</v>
      </c>
      <c r="D8" s="126" t="s">
        <v>48</v>
      </c>
      <c r="E8" s="126"/>
      <c r="F8" s="16">
        <f ca="1">IF(OFFSET(BE8,B4,0,1,1)&lt;0,"NP",COUNT(BE9:BE33))</f>
        <v>5</v>
      </c>
      <c r="AZ8" s="71"/>
      <c r="BA8" s="49">
        <v>6</v>
      </c>
      <c r="BB8" s="40"/>
      <c r="BC8" s="15">
        <f>A8</f>
        <v>0</v>
      </c>
      <c r="BD8" s="10">
        <f>IF(A8="","",B8)</f>
        <v>-65000</v>
      </c>
      <c r="BE8" s="10">
        <f>BD8</f>
        <v>-65000</v>
      </c>
      <c r="BF8" s="10">
        <f>BD8</f>
        <v>-65000</v>
      </c>
      <c r="BG8" s="10">
        <f>BF8</f>
        <v>-65000</v>
      </c>
      <c r="BH8" s="72"/>
    </row>
    <row r="9" spans="1:60" x14ac:dyDescent="0.2">
      <c r="A9" s="5">
        <f>IF(ROWS($A$9:A9)&gt;$B$4,"",ROWS($A$9:A9))</f>
        <v>1</v>
      </c>
      <c r="B9" s="8">
        <v>15000</v>
      </c>
      <c r="D9" s="126" t="s">
        <v>51</v>
      </c>
      <c r="E9" s="126"/>
      <c r="F9" s="16">
        <f ca="1">IF(OFFSET(BG8,B4,0,1,1)&lt;0,"NP",COUNT(BG9:BG33))</f>
        <v>5</v>
      </c>
      <c r="AZ9" s="71"/>
      <c r="BA9" s="49">
        <v>7</v>
      </c>
      <c r="BB9" s="40"/>
      <c r="BC9" s="15">
        <f t="shared" ref="BC9:BC33" si="0">A9</f>
        <v>1</v>
      </c>
      <c r="BD9" s="10">
        <f t="shared" ref="BD9:BD33" si="1">IF(A9="","",B9)</f>
        <v>15000</v>
      </c>
      <c r="BE9" s="10">
        <f>IF(BC9="","",IF(BE8&gt;=0,"",BD9+BE8))</f>
        <v>-50000</v>
      </c>
      <c r="BF9" s="60">
        <f>IF(A9="","",BD9/(1+$F$4)^BC9)</f>
        <v>14326.647564469915</v>
      </c>
      <c r="BG9" s="10">
        <f>IF(BC9="","",IF(BG8&gt;=0,"",BF9+BG8))</f>
        <v>-50673.352435530083</v>
      </c>
      <c r="BH9" s="72"/>
    </row>
    <row r="10" spans="1:60" ht="16" thickBot="1" x14ac:dyDescent="0.25">
      <c r="A10" s="5">
        <f>IF(ROWS($A$9:A10)&gt;$B$4,"",ROWS($A$9:A10))</f>
        <v>2</v>
      </c>
      <c r="B10" s="8">
        <v>15000</v>
      </c>
      <c r="AZ10" s="71"/>
      <c r="BA10" s="49">
        <v>8</v>
      </c>
      <c r="BB10" s="40"/>
      <c r="BC10" s="15">
        <f t="shared" si="0"/>
        <v>2</v>
      </c>
      <c r="BD10" s="10">
        <f t="shared" si="1"/>
        <v>15000</v>
      </c>
      <c r="BE10" s="10">
        <f t="shared" ref="BE10:BE33" si="2">IF(BC10="","",IF(BE9&gt;=0,"",BD10+BE9))</f>
        <v>-35000</v>
      </c>
      <c r="BF10" s="60">
        <f t="shared" ref="BF10:BF33" si="3">IF(A10="","",BD10/(1+$F$4)^BC10)</f>
        <v>13683.522029102118</v>
      </c>
      <c r="BG10" s="10">
        <f t="shared" ref="BG10:BG33" si="4">IF(BC10="","",IF(BG9&gt;=0,"",BF10+BG9))</f>
        <v>-36989.830406427965</v>
      </c>
      <c r="BH10" s="72"/>
    </row>
    <row r="11" spans="1:60" ht="16" thickBot="1" x14ac:dyDescent="0.25">
      <c r="A11" s="5">
        <f>IF(ROWS($A$9:A11)&gt;$B$4,"",ROWS($A$9:A11))</f>
        <v>3</v>
      </c>
      <c r="B11" s="8">
        <v>15000</v>
      </c>
      <c r="D11" s="88" t="s">
        <v>55</v>
      </c>
      <c r="E11" s="90"/>
      <c r="AZ11" s="71"/>
      <c r="BA11" s="49">
        <v>9</v>
      </c>
      <c r="BB11" s="40"/>
      <c r="BC11" s="15">
        <f t="shared" si="0"/>
        <v>3</v>
      </c>
      <c r="BD11" s="10">
        <f t="shared" si="1"/>
        <v>15000</v>
      </c>
      <c r="BE11" s="10">
        <f t="shared" si="2"/>
        <v>-20000</v>
      </c>
      <c r="BF11" s="60">
        <f t="shared" si="3"/>
        <v>13069.26650344042</v>
      </c>
      <c r="BG11" s="10">
        <f t="shared" si="4"/>
        <v>-23920.563902987546</v>
      </c>
      <c r="BH11" s="72"/>
    </row>
    <row r="12" spans="1:60" x14ac:dyDescent="0.2">
      <c r="A12" s="5">
        <f>IF(ROWS($A$9:A12)&gt;$B$4,"",ROWS($A$9:A12))</f>
        <v>4</v>
      </c>
      <c r="B12" s="8">
        <v>15000</v>
      </c>
      <c r="D12" s="71"/>
      <c r="E12" s="72"/>
      <c r="AZ12" s="71"/>
      <c r="BA12" s="49">
        <v>10</v>
      </c>
      <c r="BB12" s="40"/>
      <c r="BC12" s="15">
        <f t="shared" si="0"/>
        <v>4</v>
      </c>
      <c r="BD12" s="10">
        <f t="shared" si="1"/>
        <v>15000</v>
      </c>
      <c r="BE12" s="10">
        <f t="shared" si="2"/>
        <v>-5000</v>
      </c>
      <c r="BF12" s="60">
        <f t="shared" si="3"/>
        <v>12482.585008061527</v>
      </c>
      <c r="BG12" s="10">
        <f t="shared" si="4"/>
        <v>-11437.978894926018</v>
      </c>
      <c r="BH12" s="72"/>
    </row>
    <row r="13" spans="1:60" x14ac:dyDescent="0.2">
      <c r="A13" s="5">
        <f>IF(ROWS($A$9:A13)&gt;$B$4,"",ROWS($A$9:A13))</f>
        <v>5</v>
      </c>
      <c r="B13" s="8">
        <v>15000</v>
      </c>
      <c r="D13" s="71"/>
      <c r="E13" s="72"/>
      <c r="AZ13" s="71"/>
      <c r="BA13" s="49">
        <v>11</v>
      </c>
      <c r="BB13" s="40"/>
      <c r="BC13" s="15">
        <f t="shared" si="0"/>
        <v>5</v>
      </c>
      <c r="BD13" s="10">
        <f t="shared" si="1"/>
        <v>15000</v>
      </c>
      <c r="BE13" s="10">
        <f t="shared" si="2"/>
        <v>10000</v>
      </c>
      <c r="BF13" s="60">
        <f t="shared" si="3"/>
        <v>11922.239740268891</v>
      </c>
      <c r="BG13" s="10">
        <f t="shared" si="4"/>
        <v>484.26084534287293</v>
      </c>
      <c r="BH13" s="72"/>
    </row>
    <row r="14" spans="1:60" x14ac:dyDescent="0.2">
      <c r="A14" s="5">
        <f>IF(ROWS($A$9:A14)&gt;$B$4,"",ROWS($A$9:A14))</f>
        <v>6</v>
      </c>
      <c r="B14" s="8">
        <v>15000</v>
      </c>
      <c r="D14" s="71"/>
      <c r="E14" s="72"/>
      <c r="AZ14" s="71"/>
      <c r="BA14" s="49">
        <v>12</v>
      </c>
      <c r="BB14" s="40"/>
      <c r="BC14" s="15">
        <f t="shared" si="0"/>
        <v>6</v>
      </c>
      <c r="BD14" s="10">
        <f t="shared" si="1"/>
        <v>15000</v>
      </c>
      <c r="BE14" s="10" t="str">
        <f t="shared" si="2"/>
        <v/>
      </c>
      <c r="BF14" s="60">
        <f t="shared" si="3"/>
        <v>11387.048462529985</v>
      </c>
      <c r="BG14" s="10" t="str">
        <f t="shared" si="4"/>
        <v/>
      </c>
      <c r="BH14" s="72"/>
    </row>
    <row r="15" spans="1:60" x14ac:dyDescent="0.2">
      <c r="A15" s="5">
        <f>IF(ROWS($A$9:A15)&gt;$B$4,"",ROWS($A$9:A15))</f>
        <v>7</v>
      </c>
      <c r="B15" s="8">
        <v>15000</v>
      </c>
      <c r="D15" s="71"/>
      <c r="E15" s="72"/>
      <c r="AZ15" s="71"/>
      <c r="BA15" s="49">
        <v>13</v>
      </c>
      <c r="BB15" s="40"/>
      <c r="BC15" s="15">
        <f t="shared" si="0"/>
        <v>7</v>
      </c>
      <c r="BD15" s="10">
        <f t="shared" si="1"/>
        <v>15000</v>
      </c>
      <c r="BE15" s="10" t="str">
        <f t="shared" si="2"/>
        <v/>
      </c>
      <c r="BF15" s="60">
        <f t="shared" si="3"/>
        <v>10875.882008147073</v>
      </c>
      <c r="BG15" s="10" t="str">
        <f t="shared" si="4"/>
        <v/>
      </c>
      <c r="BH15" s="72"/>
    </row>
    <row r="16" spans="1:60" x14ac:dyDescent="0.2">
      <c r="A16" s="5">
        <f>IF(ROWS($A$9:A16)&gt;$B$4,"",ROWS($A$9:A16))</f>
        <v>8</v>
      </c>
      <c r="B16" s="8">
        <v>15000</v>
      </c>
      <c r="D16" s="71"/>
      <c r="E16" s="72"/>
      <c r="AZ16" s="71"/>
      <c r="BA16" s="49">
        <v>14</v>
      </c>
      <c r="BB16" s="40"/>
      <c r="BC16" s="15">
        <f t="shared" si="0"/>
        <v>8</v>
      </c>
      <c r="BD16" s="10">
        <f t="shared" si="1"/>
        <v>15000</v>
      </c>
      <c r="BE16" s="10" t="str">
        <f t="shared" si="2"/>
        <v/>
      </c>
      <c r="BF16" s="60">
        <f t="shared" si="3"/>
        <v>10387.661898898828</v>
      </c>
      <c r="BG16" s="10" t="str">
        <f t="shared" si="4"/>
        <v/>
      </c>
      <c r="BH16" s="72"/>
    </row>
    <row r="17" spans="1:60" ht="16" thickBot="1" x14ac:dyDescent="0.25">
      <c r="A17" s="5">
        <f>IF(ROWS($A$9:A17)&gt;$B$4,"",ROWS($A$9:A17))</f>
        <v>9</v>
      </c>
      <c r="B17" s="8">
        <v>15000</v>
      </c>
      <c r="D17" s="78"/>
      <c r="E17" s="77"/>
      <c r="AZ17" s="71"/>
      <c r="BA17" s="49">
        <v>15</v>
      </c>
      <c r="BB17" s="40"/>
      <c r="BC17" s="15">
        <f t="shared" si="0"/>
        <v>9</v>
      </c>
      <c r="BD17" s="10">
        <f t="shared" si="1"/>
        <v>15000</v>
      </c>
      <c r="BE17" s="10" t="str">
        <f t="shared" si="2"/>
        <v/>
      </c>
      <c r="BF17" s="60">
        <f t="shared" si="3"/>
        <v>9921.3580696263889</v>
      </c>
      <c r="BG17" s="10" t="str">
        <f t="shared" si="4"/>
        <v/>
      </c>
      <c r="BH17" s="72"/>
    </row>
    <row r="18" spans="1:60" x14ac:dyDescent="0.2">
      <c r="A18" s="5">
        <f>IF(ROWS($A$9:A18)&gt;$B$4,"",ROWS($A$9:A18))</f>
        <v>10</v>
      </c>
      <c r="B18" s="8">
        <v>15000</v>
      </c>
      <c r="AZ18" s="71"/>
      <c r="BA18" s="49">
        <v>16</v>
      </c>
      <c r="BB18" s="40"/>
      <c r="BC18" s="15">
        <f t="shared" si="0"/>
        <v>10</v>
      </c>
      <c r="BD18" s="10">
        <f t="shared" si="1"/>
        <v>15000</v>
      </c>
      <c r="BE18" s="10" t="str">
        <f t="shared" si="2"/>
        <v/>
      </c>
      <c r="BF18" s="60">
        <f t="shared" si="3"/>
        <v>9475.986694963125</v>
      </c>
      <c r="BG18" s="10" t="str">
        <f t="shared" si="4"/>
        <v/>
      </c>
      <c r="BH18" s="72"/>
    </row>
    <row r="19" spans="1:60" x14ac:dyDescent="0.2">
      <c r="A19" s="5">
        <f>IF(ROWS($A$9:A19)&gt;$B$4,"",ROWS($A$9:A19))</f>
        <v>11</v>
      </c>
      <c r="B19" s="8">
        <v>15000</v>
      </c>
      <c r="D19" s="12"/>
      <c r="AZ19" s="71"/>
      <c r="BA19" s="49">
        <v>17</v>
      </c>
      <c r="BB19" s="40"/>
      <c r="BC19" s="15">
        <f t="shared" si="0"/>
        <v>11</v>
      </c>
      <c r="BD19" s="10">
        <f t="shared" si="1"/>
        <v>15000</v>
      </c>
      <c r="BE19" s="10" t="str">
        <f t="shared" si="2"/>
        <v/>
      </c>
      <c r="BF19" s="60">
        <f t="shared" si="3"/>
        <v>9050.6081136228513</v>
      </c>
      <c r="BG19" s="10" t="str">
        <f t="shared" si="4"/>
        <v/>
      </c>
      <c r="BH19" s="72"/>
    </row>
    <row r="20" spans="1:60" x14ac:dyDescent="0.2">
      <c r="A20" s="5">
        <f>IF(ROWS($A$9:A20)&gt;$B$4,"",ROWS($A$9:A20))</f>
        <v>12</v>
      </c>
      <c r="B20" s="8">
        <v>15000</v>
      </c>
      <c r="AZ20" s="71"/>
      <c r="BA20" s="49">
        <v>18</v>
      </c>
      <c r="BB20" s="40"/>
      <c r="BC20" s="15">
        <f t="shared" si="0"/>
        <v>12</v>
      </c>
      <c r="BD20" s="10">
        <f t="shared" si="1"/>
        <v>15000</v>
      </c>
      <c r="BE20" s="10" t="str">
        <f t="shared" si="2"/>
        <v/>
      </c>
      <c r="BF20" s="60">
        <f t="shared" si="3"/>
        <v>8644.3248458670987</v>
      </c>
      <c r="BG20" s="10" t="str">
        <f t="shared" si="4"/>
        <v/>
      </c>
      <c r="BH20" s="72"/>
    </row>
    <row r="21" spans="1:60" x14ac:dyDescent="0.2">
      <c r="A21" s="5">
        <f>IF(ROWS($A$9:A21)&gt;$B$4,"",ROWS($A$9:A21))</f>
        <v>13</v>
      </c>
      <c r="B21" s="8">
        <v>15000</v>
      </c>
      <c r="AZ21" s="71"/>
      <c r="BA21" s="49">
        <v>19</v>
      </c>
      <c r="BB21" s="40"/>
      <c r="BC21" s="15">
        <f t="shared" si="0"/>
        <v>13</v>
      </c>
      <c r="BD21" s="10">
        <f t="shared" si="1"/>
        <v>15000</v>
      </c>
      <c r="BE21" s="10" t="str">
        <f t="shared" si="2"/>
        <v/>
      </c>
      <c r="BF21" s="60">
        <f t="shared" si="3"/>
        <v>8256.2796999685761</v>
      </c>
      <c r="BG21" s="10" t="str">
        <f t="shared" si="4"/>
        <v/>
      </c>
      <c r="BH21" s="72"/>
    </row>
    <row r="22" spans="1:60" x14ac:dyDescent="0.2">
      <c r="A22" s="5" t="str">
        <f>IF(ROWS($A$9:A22)&gt;$B$4,"",ROWS($A$9:A22))</f>
        <v/>
      </c>
      <c r="B22" s="8">
        <v>15000</v>
      </c>
      <c r="AZ22" s="71"/>
      <c r="BA22" s="49">
        <v>20</v>
      </c>
      <c r="BB22" s="40"/>
      <c r="BC22" s="15" t="str">
        <f t="shared" si="0"/>
        <v/>
      </c>
      <c r="BD22" s="10" t="str">
        <f t="shared" si="1"/>
        <v/>
      </c>
      <c r="BE22" s="10" t="str">
        <f t="shared" si="2"/>
        <v/>
      </c>
      <c r="BF22" s="60" t="str">
        <f t="shared" si="3"/>
        <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7" priority="6">
      <formula>$A8=""</formula>
    </cfRule>
  </conditionalFormatting>
  <conditionalFormatting sqref="BC8:BG33">
    <cfRule type="expression" dxfId="6" priority="1">
      <formula>$BC8=""</formula>
    </cfRule>
  </conditionalFormatting>
  <dataValidations count="4">
    <dataValidation type="custom" allowBlank="1" showInputMessage="1" showErrorMessage="1" error="The expected cashflow from year 1 onwards should be a number" sqref="B9:B33" xr:uid="{965B027A-63E7-443F-9737-811E2A0B5AD0}">
      <formula1>ISNUMBER(B9)</formula1>
    </dataValidation>
    <dataValidation type="custom" allowBlank="1" showInputMessage="1" showErrorMessage="1" error="The Expected cashflow for year 0 should be negative" sqref="B8" xr:uid="{1A17228F-12CB-43B5-B53B-C43589283681}">
      <formula1>B8&lt;0</formula1>
    </dataValidation>
    <dataValidation type="decimal" allowBlank="1" showInputMessage="1" showErrorMessage="1" errorTitle="Beta Value Input Error" error="Please enter decimal value between 0 and 3. If you want to make changes please contact an expert " sqref="B5" xr:uid="{0EAB931B-1B2D-4ECB-8985-82042837E85C}">
      <formula1>0</formula1>
      <formula2>3</formula2>
    </dataValidation>
    <dataValidation type="list" allowBlank="1" showInputMessage="1" showErrorMessage="1" sqref="B4" xr:uid="{A7F6464D-D715-430D-8C6E-9327ED471DCD}">
      <formula1>$BA$5:$BA$27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GoToSummary">
                <anchor moveWithCells="1" sizeWithCells="1">
                  <from>
                    <xdr:col>3</xdr:col>
                    <xdr:colOff>304800</xdr:colOff>
                    <xdr:row>11</xdr:row>
                    <xdr:rowOff>139700</xdr:rowOff>
                  </from>
                  <to>
                    <xdr:col>4</xdr:col>
                    <xdr:colOff>1028700</xdr:colOff>
                    <xdr:row>13</xdr:row>
                    <xdr:rowOff>152400</xdr:rowOff>
                  </to>
                </anchor>
              </controlPr>
            </control>
          </mc:Choice>
        </mc:AlternateContent>
        <mc:AlternateContent xmlns:mc="http://schemas.openxmlformats.org/markup-compatibility/2006">
          <mc:Choice Requires="x14">
            <control shapeId="14338" r:id="rId4" name="Button 2">
              <controlPr defaultSize="0" print="0" autoFill="0" autoPict="0" macro="[0]!GoToNPV_Profile">
                <anchor moveWithCells="1" sizeWithCells="1">
                  <from>
                    <xdr:col>3</xdr:col>
                    <xdr:colOff>304800</xdr:colOff>
                    <xdr:row>14</xdr:row>
                    <xdr:rowOff>76200</xdr:rowOff>
                  </from>
                  <to>
                    <xdr:col>4</xdr:col>
                    <xdr:colOff>1041400</xdr:colOff>
                    <xdr:row>16</xdr:row>
                    <xdr:rowOff>63500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60678-81B5-4363-A6CE-537A4C1F00C7}">
  <sheetPr codeName="Sheet12">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5" customWidth="1"/>
    <col min="58" max="58" width="14.5" customWidth="1"/>
    <col min="59" max="59" width="13.5"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15</v>
      </c>
      <c r="D4" s="126" t="s">
        <v>3</v>
      </c>
      <c r="E4" s="126"/>
      <c r="F4" s="9">
        <f>RfRate+ProjectI!B5*MRP</f>
        <v>0.159</v>
      </c>
      <c r="I4" s="103"/>
      <c r="J4" s="104"/>
      <c r="K4" s="70"/>
      <c r="AZ4" s="71"/>
      <c r="BA4" s="4" t="s">
        <v>11</v>
      </c>
      <c r="BB4" s="40"/>
      <c r="BC4" s="40"/>
      <c r="BD4" s="103"/>
      <c r="BE4" s="104"/>
      <c r="BF4" s="70"/>
      <c r="BG4" s="40"/>
      <c r="BH4" s="72"/>
    </row>
    <row r="5" spans="1:60" x14ac:dyDescent="0.2">
      <c r="A5" s="5" t="s">
        <v>8</v>
      </c>
      <c r="B5" s="6">
        <v>1.7</v>
      </c>
      <c r="D5" s="126" t="s">
        <v>4</v>
      </c>
      <c r="E5" s="126"/>
      <c r="F5" s="10">
        <f ca="1">$B$8+NPV($F$4,B9:OFFSET(B8,B4,0))</f>
        <v>-1740.9457646437513</v>
      </c>
      <c r="AZ5" s="71"/>
      <c r="BA5" s="49">
        <v>3</v>
      </c>
      <c r="BB5" s="40"/>
      <c r="BC5" s="40"/>
      <c r="BD5" s="40"/>
      <c r="BE5" s="40"/>
      <c r="BF5" s="40"/>
      <c r="BG5" s="40"/>
      <c r="BH5" s="72"/>
    </row>
    <row r="6" spans="1:60" x14ac:dyDescent="0.2">
      <c r="D6" s="126" t="s">
        <v>5</v>
      </c>
      <c r="E6" s="126"/>
      <c r="F6" s="11">
        <f ca="1">SUM($B$8:OFFSET($B$9,B4,0))/(-$B$8*$B$4)</f>
        <v>0.1361904761904762</v>
      </c>
      <c r="AZ6" s="71"/>
      <c r="BA6" s="49">
        <v>4</v>
      </c>
      <c r="BB6" s="40"/>
      <c r="BC6" s="127" t="s">
        <v>49</v>
      </c>
      <c r="BD6" s="127"/>
      <c r="BE6" s="127"/>
      <c r="BF6" s="129" t="s">
        <v>51</v>
      </c>
      <c r="BG6" s="129"/>
      <c r="BH6" s="72"/>
    </row>
    <row r="7" spans="1:60" x14ac:dyDescent="0.2">
      <c r="A7" s="4" t="s">
        <v>9</v>
      </c>
      <c r="B7" s="4" t="s">
        <v>10</v>
      </c>
      <c r="D7" s="126" t="s">
        <v>6</v>
      </c>
      <c r="E7" s="126"/>
      <c r="F7" s="11">
        <f ca="1">IFERROR(IRR(B8:OFFSET(B8,B4,0),F6),"No IRR")</f>
        <v>0.15442677406216032</v>
      </c>
      <c r="AZ7" s="71"/>
      <c r="BA7" s="49">
        <v>5</v>
      </c>
      <c r="BB7" s="40"/>
      <c r="BC7" s="4" t="s">
        <v>9</v>
      </c>
      <c r="BD7" s="4" t="s">
        <v>10</v>
      </c>
      <c r="BE7" s="4" t="s">
        <v>47</v>
      </c>
      <c r="BF7" s="4" t="s">
        <v>52</v>
      </c>
      <c r="BG7" s="4" t="s">
        <v>47</v>
      </c>
      <c r="BH7" s="72"/>
    </row>
    <row r="8" spans="1:60" x14ac:dyDescent="0.2">
      <c r="A8" s="5">
        <v>0</v>
      </c>
      <c r="B8" s="8">
        <v>-70000</v>
      </c>
      <c r="D8" s="126" t="s">
        <v>48</v>
      </c>
      <c r="E8" s="126"/>
      <c r="F8" s="16">
        <f ca="1">IF(OFFSET(BE8,B4,0,1,1)&lt;0,"NP",COUNT(BE9:BE33))</f>
        <v>6</v>
      </c>
      <c r="AZ8" s="71"/>
      <c r="BA8" s="49">
        <v>6</v>
      </c>
      <c r="BB8" s="40"/>
      <c r="BC8" s="15">
        <f>A8</f>
        <v>0</v>
      </c>
      <c r="BD8" s="10">
        <f>IF(A8="","",B8)</f>
        <v>-70000</v>
      </c>
      <c r="BE8" s="10">
        <f>BD8</f>
        <v>-70000</v>
      </c>
      <c r="BF8" s="10">
        <f>BD8</f>
        <v>-70000</v>
      </c>
      <c r="BG8" s="10">
        <f>BF8</f>
        <v>-70000</v>
      </c>
      <c r="BH8" s="72"/>
    </row>
    <row r="9" spans="1:60" x14ac:dyDescent="0.2">
      <c r="A9" s="5">
        <f>IF(ROWS($A$9:A9)&gt;$B$4,"",ROWS($A$9:A9))</f>
        <v>1</v>
      </c>
      <c r="B9" s="8">
        <v>5000</v>
      </c>
      <c r="D9" s="126" t="s">
        <v>51</v>
      </c>
      <c r="E9" s="126"/>
      <c r="F9" s="16" t="str">
        <f ca="1">IF(OFFSET(BG8,B4,0,1,1)&lt;0,"NP",COUNT(BG9:BG33))</f>
        <v>NP</v>
      </c>
      <c r="AZ9" s="71"/>
      <c r="BA9" s="49">
        <v>7</v>
      </c>
      <c r="BB9" s="40"/>
      <c r="BC9" s="15">
        <f t="shared" ref="BC9:BC33" si="0">A9</f>
        <v>1</v>
      </c>
      <c r="BD9" s="10">
        <f t="shared" ref="BD9:BD33" si="1">IF(A9="","",B9)</f>
        <v>5000</v>
      </c>
      <c r="BE9" s="10">
        <f>IF(BC9="","",IF(BE8&gt;=0,"",BD9+BE8))</f>
        <v>-65000</v>
      </c>
      <c r="BF9" s="60">
        <f>IF(A9="","",BD9/(1+$F$4)^BC9)</f>
        <v>4314.0638481449523</v>
      </c>
      <c r="BG9" s="10">
        <f>IF(BC9="","",IF(BG8&gt;=0,"",BF9+BG8))</f>
        <v>-65685.936151855043</v>
      </c>
      <c r="BH9" s="72"/>
    </row>
    <row r="10" spans="1:60" ht="16" thickBot="1" x14ac:dyDescent="0.25">
      <c r="A10" s="5">
        <f>IF(ROWS($A$9:A10)&gt;$B$4,"",ROWS($A$9:A10))</f>
        <v>2</v>
      </c>
      <c r="B10" s="8">
        <v>8000</v>
      </c>
      <c r="AZ10" s="71"/>
      <c r="BA10" s="49">
        <v>8</v>
      </c>
      <c r="BB10" s="40"/>
      <c r="BC10" s="15">
        <f t="shared" si="0"/>
        <v>2</v>
      </c>
      <c r="BD10" s="10">
        <f t="shared" si="1"/>
        <v>8000</v>
      </c>
      <c r="BE10" s="10">
        <f t="shared" ref="BE10:BE33" si="2">IF(BC10="","",IF(BE9&gt;=0,"",BD10+BE9))</f>
        <v>-57000</v>
      </c>
      <c r="BF10" s="60">
        <f t="shared" ref="BF10:BF33" si="3">IF(A10="","",BD10/(1+$F$4)^BC10)</f>
        <v>5955.5670034787945</v>
      </c>
      <c r="BG10" s="10">
        <f t="shared" ref="BG10:BG33" si="4">IF(BC10="","",IF(BG9&gt;=0,"",BF10+BG9))</f>
        <v>-59730.369148376252</v>
      </c>
      <c r="BH10" s="72"/>
    </row>
    <row r="11" spans="1:60" ht="16" thickBot="1" x14ac:dyDescent="0.25">
      <c r="A11" s="5">
        <f>IF(ROWS($A$9:A11)&gt;$B$4,"",ROWS($A$9:A11))</f>
        <v>3</v>
      </c>
      <c r="B11" s="8">
        <v>12000</v>
      </c>
      <c r="D11" s="88" t="s">
        <v>55</v>
      </c>
      <c r="E11" s="90"/>
      <c r="AZ11" s="71"/>
      <c r="BA11" s="49">
        <v>9</v>
      </c>
      <c r="BB11" s="40"/>
      <c r="BC11" s="15">
        <f t="shared" si="0"/>
        <v>3</v>
      </c>
      <c r="BD11" s="10">
        <f t="shared" si="1"/>
        <v>12000</v>
      </c>
      <c r="BE11" s="10">
        <f t="shared" si="2"/>
        <v>-45000</v>
      </c>
      <c r="BF11" s="60">
        <f t="shared" si="3"/>
        <v>7707.8088914738501</v>
      </c>
      <c r="BG11" s="10">
        <f t="shared" si="4"/>
        <v>-52022.560256902405</v>
      </c>
      <c r="BH11" s="72"/>
    </row>
    <row r="12" spans="1:60" x14ac:dyDescent="0.2">
      <c r="A12" s="5">
        <f>IF(ROWS($A$9:A12)&gt;$B$4,"",ROWS($A$9:A12))</f>
        <v>4</v>
      </c>
      <c r="B12" s="8">
        <v>15000</v>
      </c>
      <c r="D12" s="71"/>
      <c r="E12" s="72"/>
      <c r="AZ12" s="71"/>
      <c r="BA12" s="49">
        <v>10</v>
      </c>
      <c r="BB12" s="40"/>
      <c r="BC12" s="15">
        <f t="shared" si="0"/>
        <v>4</v>
      </c>
      <c r="BD12" s="10">
        <f t="shared" si="1"/>
        <v>15000</v>
      </c>
      <c r="BE12" s="10">
        <f t="shared" si="2"/>
        <v>-30000</v>
      </c>
      <c r="BF12" s="60">
        <f t="shared" si="3"/>
        <v>8312.9949217793892</v>
      </c>
      <c r="BG12" s="10">
        <f t="shared" si="4"/>
        <v>-43709.565335123014</v>
      </c>
      <c r="BH12" s="72"/>
    </row>
    <row r="13" spans="1:60" x14ac:dyDescent="0.2">
      <c r="A13" s="5">
        <f>IF(ROWS($A$9:A13)&gt;$B$4,"",ROWS($A$9:A13))</f>
        <v>5</v>
      </c>
      <c r="B13" s="8">
        <v>15000</v>
      </c>
      <c r="D13" s="71"/>
      <c r="E13" s="72"/>
      <c r="AZ13" s="71"/>
      <c r="BA13" s="49">
        <v>11</v>
      </c>
      <c r="BB13" s="40"/>
      <c r="BC13" s="15">
        <f t="shared" si="0"/>
        <v>5</v>
      </c>
      <c r="BD13" s="10">
        <f t="shared" si="1"/>
        <v>15000</v>
      </c>
      <c r="BE13" s="10">
        <f t="shared" si="2"/>
        <v>-15000</v>
      </c>
      <c r="BF13" s="60">
        <f t="shared" si="3"/>
        <v>7172.558172372208</v>
      </c>
      <c r="BG13" s="10">
        <f t="shared" si="4"/>
        <v>-36537.007162750808</v>
      </c>
      <c r="BH13" s="72"/>
    </row>
    <row r="14" spans="1:60" x14ac:dyDescent="0.2">
      <c r="A14" s="5">
        <f>IF(ROWS($A$9:A14)&gt;$B$4,"",ROWS($A$9:A14))</f>
        <v>6</v>
      </c>
      <c r="B14" s="8">
        <v>15000</v>
      </c>
      <c r="D14" s="71"/>
      <c r="E14" s="72"/>
      <c r="AZ14" s="71"/>
      <c r="BA14" s="49">
        <v>12</v>
      </c>
      <c r="BB14" s="40"/>
      <c r="BC14" s="15">
        <f t="shared" si="0"/>
        <v>6</v>
      </c>
      <c r="BD14" s="10">
        <f t="shared" si="1"/>
        <v>15000</v>
      </c>
      <c r="BE14" s="10">
        <f t="shared" si="2"/>
        <v>0</v>
      </c>
      <c r="BF14" s="60">
        <f t="shared" si="3"/>
        <v>6188.5747820295137</v>
      </c>
      <c r="BG14" s="10">
        <f t="shared" si="4"/>
        <v>-30348.432380721293</v>
      </c>
      <c r="BH14" s="72"/>
    </row>
    <row r="15" spans="1:60" x14ac:dyDescent="0.2">
      <c r="A15" s="5">
        <f>IF(ROWS($A$9:A15)&gt;$B$4,"",ROWS($A$9:A15))</f>
        <v>7</v>
      </c>
      <c r="B15" s="8">
        <v>15000</v>
      </c>
      <c r="D15" s="71"/>
      <c r="E15" s="72"/>
      <c r="AZ15" s="71"/>
      <c r="BA15" s="49">
        <v>13</v>
      </c>
      <c r="BB15" s="40"/>
      <c r="BC15" s="15">
        <f t="shared" si="0"/>
        <v>7</v>
      </c>
      <c r="BD15" s="10">
        <f t="shared" si="1"/>
        <v>15000</v>
      </c>
      <c r="BE15" s="10" t="str">
        <f t="shared" si="2"/>
        <v/>
      </c>
      <c r="BF15" s="60">
        <f t="shared" si="3"/>
        <v>5339.5813477390111</v>
      </c>
      <c r="BG15" s="10">
        <f t="shared" si="4"/>
        <v>-25008.851032982282</v>
      </c>
      <c r="BH15" s="72"/>
    </row>
    <row r="16" spans="1:60" x14ac:dyDescent="0.2">
      <c r="A16" s="5">
        <f>IF(ROWS($A$9:A16)&gt;$B$4,"",ROWS($A$9:A16))</f>
        <v>8</v>
      </c>
      <c r="B16" s="8">
        <v>15000</v>
      </c>
      <c r="D16" s="71"/>
      <c r="E16" s="72"/>
      <c r="AZ16" s="71"/>
      <c r="BA16" s="49">
        <v>14</v>
      </c>
      <c r="BB16" s="40"/>
      <c r="BC16" s="15">
        <f t="shared" si="0"/>
        <v>8</v>
      </c>
      <c r="BD16" s="10">
        <f t="shared" si="1"/>
        <v>15000</v>
      </c>
      <c r="BE16" s="10" t="str">
        <f t="shared" si="2"/>
        <v/>
      </c>
      <c r="BF16" s="60">
        <f t="shared" si="3"/>
        <v>4607.0589713019936</v>
      </c>
      <c r="BG16" s="10">
        <f t="shared" si="4"/>
        <v>-20401.792061680288</v>
      </c>
      <c r="BH16" s="72"/>
    </row>
    <row r="17" spans="1:60" ht="16" thickBot="1" x14ac:dyDescent="0.25">
      <c r="A17" s="5">
        <f>IF(ROWS($A$9:A17)&gt;$B$4,"",ROWS($A$9:A17))</f>
        <v>9</v>
      </c>
      <c r="B17" s="8">
        <v>15000</v>
      </c>
      <c r="D17" s="78"/>
      <c r="E17" s="77"/>
      <c r="AZ17" s="71"/>
      <c r="BA17" s="49">
        <v>15</v>
      </c>
      <c r="BB17" s="40"/>
      <c r="BC17" s="15">
        <f t="shared" si="0"/>
        <v>9</v>
      </c>
      <c r="BD17" s="10">
        <f t="shared" si="1"/>
        <v>15000</v>
      </c>
      <c r="BE17" s="10" t="str">
        <f t="shared" si="2"/>
        <v/>
      </c>
      <c r="BF17" s="60">
        <f t="shared" si="3"/>
        <v>3975.0293108731607</v>
      </c>
      <c r="BG17" s="10">
        <f t="shared" si="4"/>
        <v>-16426.762750807127</v>
      </c>
      <c r="BH17" s="72"/>
    </row>
    <row r="18" spans="1:60" x14ac:dyDescent="0.2">
      <c r="A18" s="5">
        <f>IF(ROWS($A$9:A18)&gt;$B$4,"",ROWS($A$9:A18))</f>
        <v>10</v>
      </c>
      <c r="B18" s="8">
        <v>15000</v>
      </c>
      <c r="AZ18" s="71"/>
      <c r="BA18" s="49">
        <v>16</v>
      </c>
      <c r="BB18" s="40"/>
      <c r="BC18" s="15">
        <f t="shared" si="0"/>
        <v>10</v>
      </c>
      <c r="BD18" s="10">
        <f t="shared" si="1"/>
        <v>15000</v>
      </c>
      <c r="BE18" s="10" t="str">
        <f t="shared" si="2"/>
        <v/>
      </c>
      <c r="BF18" s="60">
        <f t="shared" si="3"/>
        <v>3429.7060490708886</v>
      </c>
      <c r="BG18" s="10">
        <f t="shared" si="4"/>
        <v>-12997.056701736239</v>
      </c>
      <c r="BH18" s="72"/>
    </row>
    <row r="19" spans="1:60" x14ac:dyDescent="0.2">
      <c r="A19" s="5">
        <f>IF(ROWS($A$9:A19)&gt;$B$4,"",ROWS($A$9:A19))</f>
        <v>11</v>
      </c>
      <c r="B19" s="8">
        <v>15000</v>
      </c>
      <c r="D19" s="12"/>
      <c r="AZ19" s="71"/>
      <c r="BA19" s="49">
        <v>17</v>
      </c>
      <c r="BB19" s="40"/>
      <c r="BC19" s="15">
        <f t="shared" si="0"/>
        <v>11</v>
      </c>
      <c r="BD19" s="10">
        <f t="shared" si="1"/>
        <v>15000</v>
      </c>
      <c r="BE19" s="10" t="str">
        <f t="shared" si="2"/>
        <v/>
      </c>
      <c r="BF19" s="60">
        <f t="shared" si="3"/>
        <v>2959.1941752121556</v>
      </c>
      <c r="BG19" s="10">
        <f t="shared" si="4"/>
        <v>-10037.862526524084</v>
      </c>
      <c r="BH19" s="72"/>
    </row>
    <row r="20" spans="1:60" x14ac:dyDescent="0.2">
      <c r="A20" s="5">
        <f>IF(ROWS($A$9:A20)&gt;$B$4,"",ROWS($A$9:A20))</f>
        <v>12</v>
      </c>
      <c r="B20" s="8">
        <v>15000</v>
      </c>
      <c r="AZ20" s="71"/>
      <c r="BA20" s="49">
        <v>18</v>
      </c>
      <c r="BB20" s="40"/>
      <c r="BC20" s="15">
        <f t="shared" si="0"/>
        <v>12</v>
      </c>
      <c r="BD20" s="10">
        <f t="shared" si="1"/>
        <v>15000</v>
      </c>
      <c r="BE20" s="10" t="str">
        <f t="shared" si="2"/>
        <v/>
      </c>
      <c r="BF20" s="60">
        <f t="shared" si="3"/>
        <v>2553.230522184776</v>
      </c>
      <c r="BG20" s="10">
        <f t="shared" si="4"/>
        <v>-7484.632004339308</v>
      </c>
      <c r="BH20" s="72"/>
    </row>
    <row r="21" spans="1:60" x14ac:dyDescent="0.2">
      <c r="A21" s="5">
        <f>IF(ROWS($A$9:A21)&gt;$B$4,"",ROWS($A$9:A21))</f>
        <v>13</v>
      </c>
      <c r="B21" s="8">
        <v>15000</v>
      </c>
      <c r="AZ21" s="71"/>
      <c r="BA21" s="49">
        <v>19</v>
      </c>
      <c r="BB21" s="40"/>
      <c r="BC21" s="15">
        <f t="shared" si="0"/>
        <v>13</v>
      </c>
      <c r="BD21" s="10">
        <f t="shared" si="1"/>
        <v>15000</v>
      </c>
      <c r="BE21" s="10" t="str">
        <f t="shared" si="2"/>
        <v/>
      </c>
      <c r="BF21" s="60">
        <f t="shared" si="3"/>
        <v>2202.9598983475207</v>
      </c>
      <c r="BG21" s="10">
        <f t="shared" si="4"/>
        <v>-5281.6721059917872</v>
      </c>
      <c r="BH21" s="72"/>
    </row>
    <row r="22" spans="1:60" x14ac:dyDescent="0.2">
      <c r="A22" s="5">
        <f>IF(ROWS($A$9:A22)&gt;$B$4,"",ROWS($A$9:A22))</f>
        <v>14</v>
      </c>
      <c r="B22" s="8">
        <v>15000</v>
      </c>
      <c r="AZ22" s="71"/>
      <c r="BA22" s="49">
        <v>20</v>
      </c>
      <c r="BB22" s="40"/>
      <c r="BC22" s="15">
        <f t="shared" si="0"/>
        <v>14</v>
      </c>
      <c r="BD22" s="10">
        <f t="shared" si="1"/>
        <v>15000</v>
      </c>
      <c r="BE22" s="10" t="str">
        <f t="shared" si="2"/>
        <v/>
      </c>
      <c r="BF22" s="60">
        <f t="shared" si="3"/>
        <v>1900.7419312748232</v>
      </c>
      <c r="BG22" s="10">
        <f t="shared" si="4"/>
        <v>-3380.9301747169638</v>
      </c>
      <c r="BH22" s="72"/>
    </row>
    <row r="23" spans="1:60" x14ac:dyDescent="0.2">
      <c r="A23" s="5">
        <f>IF(ROWS($A$9:A23)&gt;$B$4,"",ROWS($A$9:A23))</f>
        <v>15</v>
      </c>
      <c r="B23" s="8">
        <v>15000</v>
      </c>
      <c r="AZ23" s="71"/>
      <c r="BA23" s="49">
        <v>21</v>
      </c>
      <c r="BB23" s="40"/>
      <c r="BC23" s="15">
        <f t="shared" si="0"/>
        <v>15</v>
      </c>
      <c r="BD23" s="10">
        <f t="shared" si="1"/>
        <v>15000</v>
      </c>
      <c r="BE23" s="10" t="str">
        <f t="shared" si="2"/>
        <v/>
      </c>
      <c r="BF23" s="60">
        <f t="shared" si="3"/>
        <v>1639.9844100731864</v>
      </c>
      <c r="BG23" s="10">
        <f t="shared" si="4"/>
        <v>-1740.9457646437775</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5" priority="6">
      <formula>$A8=""</formula>
    </cfRule>
  </conditionalFormatting>
  <conditionalFormatting sqref="BC8:BG33">
    <cfRule type="expression" dxfId="4" priority="1">
      <formula>$BC8=""</formula>
    </cfRule>
  </conditionalFormatting>
  <dataValidations count="4">
    <dataValidation type="list" allowBlank="1" showInputMessage="1" showErrorMessage="1" sqref="B4" xr:uid="{74C641D7-893C-46DB-8BC1-BC4AABB0F023}">
      <formula1>$BA$5:$BA$27</formula1>
    </dataValidation>
    <dataValidation type="decimal" allowBlank="1" showInputMessage="1" showErrorMessage="1" errorTitle="Beta Value Input Error" error="Please enter decimal value between 0 and 3. If you want to make changes please contact an expert " sqref="B5" xr:uid="{092B3257-3202-47A1-BBAF-63F9F2F254AF}">
      <formula1>0</formula1>
      <formula2>3</formula2>
    </dataValidation>
    <dataValidation type="custom" allowBlank="1" showInputMessage="1" showErrorMessage="1" error="The Expected cashflow for year 0 should be negative" sqref="B8" xr:uid="{17C20201-EC01-4E81-BD59-90D99821CF3A}">
      <formula1>B8&lt;0</formula1>
    </dataValidation>
    <dataValidation type="custom" allowBlank="1" showInputMessage="1" showErrorMessage="1" error="The expected cashflow from year 1 onwards should be a number" sqref="B9:B33" xr:uid="{C47CC5E3-2FEF-4EEC-B4D9-A45DD74945A7}">
      <formula1>ISNUMBER(B9)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oToSummary">
                <anchor moveWithCells="1" sizeWithCells="1">
                  <from>
                    <xdr:col>3</xdr:col>
                    <xdr:colOff>279400</xdr:colOff>
                    <xdr:row>11</xdr:row>
                    <xdr:rowOff>152400</xdr:rowOff>
                  </from>
                  <to>
                    <xdr:col>4</xdr:col>
                    <xdr:colOff>1028700</xdr:colOff>
                    <xdr:row>13</xdr:row>
                    <xdr:rowOff>139700</xdr:rowOff>
                  </to>
                </anchor>
              </controlPr>
            </control>
          </mc:Choice>
        </mc:AlternateContent>
        <mc:AlternateContent xmlns:mc="http://schemas.openxmlformats.org/markup-compatibility/2006">
          <mc:Choice Requires="x14">
            <control shapeId="15362" r:id="rId4" name="Button 2">
              <controlPr defaultSize="0" print="0" autoFill="0" autoPict="0" macro="[0]!GoToNPV_Profile">
                <anchor moveWithCells="1" sizeWithCells="1">
                  <from>
                    <xdr:col>3</xdr:col>
                    <xdr:colOff>279400</xdr:colOff>
                    <xdr:row>14</xdr:row>
                    <xdr:rowOff>63500</xdr:rowOff>
                  </from>
                  <to>
                    <xdr:col>4</xdr:col>
                    <xdr:colOff>1016000</xdr:colOff>
                    <xdr:row>16</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9D4-F0AE-47CF-AC82-DBACE0F4CDBA}">
  <sheetPr codeName="Sheet13">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83203125" bestFit="1" customWidth="1"/>
    <col min="58" max="58" width="16.1640625" bestFit="1" customWidth="1"/>
    <col min="59" max="59" width="13.83203125" bestFit="1"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14</v>
      </c>
      <c r="D4" s="126" t="s">
        <v>3</v>
      </c>
      <c r="E4" s="126"/>
      <c r="F4" s="9">
        <f>RfRate+ProjectJ!B5*MRP</f>
        <v>0.14500000000000002</v>
      </c>
      <c r="I4" s="103"/>
      <c r="J4" s="104"/>
      <c r="K4" s="70"/>
      <c r="AZ4" s="71"/>
      <c r="BA4" s="4" t="s">
        <v>11</v>
      </c>
      <c r="BB4" s="40"/>
      <c r="BC4" s="40"/>
      <c r="BD4" s="103"/>
      <c r="BE4" s="104"/>
      <c r="BF4" s="70"/>
      <c r="BG4" s="40"/>
      <c r="BH4" s="72"/>
    </row>
    <row r="5" spans="1:60" x14ac:dyDescent="0.2">
      <c r="A5" s="5" t="s">
        <v>8</v>
      </c>
      <c r="B5" s="6">
        <v>1.5</v>
      </c>
      <c r="D5" s="126" t="s">
        <v>4</v>
      </c>
      <c r="E5" s="126"/>
      <c r="F5" s="10">
        <f ca="1">$B$8+NPV($F$4,B9:OFFSET(B8,B4,0))</f>
        <v>25105.229067924061</v>
      </c>
      <c r="AZ5" s="71"/>
      <c r="BA5" s="49">
        <v>3</v>
      </c>
      <c r="BB5" s="40"/>
      <c r="BC5" s="40"/>
      <c r="BD5" s="40"/>
      <c r="BE5" s="40"/>
      <c r="BF5" s="40"/>
      <c r="BG5" s="40"/>
      <c r="BH5" s="72"/>
    </row>
    <row r="6" spans="1:60" x14ac:dyDescent="0.2">
      <c r="D6" s="126" t="s">
        <v>5</v>
      </c>
      <c r="E6" s="126"/>
      <c r="F6" s="11">
        <f ca="1">SUM($B$8:OFFSET(B8,B4,0))/(-$B$8*$B$4)</f>
        <v>0.20952380952380953</v>
      </c>
      <c r="AZ6" s="71"/>
      <c r="BA6" s="49">
        <v>4</v>
      </c>
      <c r="BB6" s="40"/>
      <c r="BC6" s="127" t="s">
        <v>49</v>
      </c>
      <c r="BD6" s="127"/>
      <c r="BE6" s="127"/>
      <c r="BF6" s="129" t="s">
        <v>51</v>
      </c>
      <c r="BG6" s="129"/>
      <c r="BH6" s="72"/>
    </row>
    <row r="7" spans="1:60" x14ac:dyDescent="0.2">
      <c r="A7" s="4" t="s">
        <v>9</v>
      </c>
      <c r="B7" s="4" t="s">
        <v>10</v>
      </c>
      <c r="D7" s="126" t="s">
        <v>6</v>
      </c>
      <c r="E7" s="126"/>
      <c r="F7" s="11">
        <f ca="1">IFERROR(IRR(B8:OFFSET(B8,B4,0),F6),"No IRR")</f>
        <v>0.30717650090435833</v>
      </c>
      <c r="AZ7" s="71"/>
      <c r="BA7" s="49">
        <v>5</v>
      </c>
      <c r="BB7" s="40"/>
      <c r="BC7" s="21" t="s">
        <v>9</v>
      </c>
      <c r="BD7" s="21" t="s">
        <v>10</v>
      </c>
      <c r="BE7" s="21" t="s">
        <v>47</v>
      </c>
      <c r="BF7" s="21" t="s">
        <v>59</v>
      </c>
      <c r="BG7" s="21" t="s">
        <v>47</v>
      </c>
      <c r="BH7" s="72"/>
    </row>
    <row r="8" spans="1:60" x14ac:dyDescent="0.2">
      <c r="A8" s="5">
        <v>0</v>
      </c>
      <c r="B8" s="8">
        <v>-30000</v>
      </c>
      <c r="D8" s="126" t="s">
        <v>48</v>
      </c>
      <c r="E8" s="126"/>
      <c r="F8" s="16">
        <f ca="1">IF(OFFSET(BE8,B4,0,1,1)&lt;0,"NP",COUNT(BE9:BE33))</f>
        <v>4</v>
      </c>
      <c r="AZ8" s="71"/>
      <c r="BA8" s="49">
        <v>6</v>
      </c>
      <c r="BB8" s="40"/>
      <c r="BC8" s="15">
        <f>A8</f>
        <v>0</v>
      </c>
      <c r="BD8" s="10">
        <f>IF(A8="","",B8)</f>
        <v>-30000</v>
      </c>
      <c r="BE8" s="10">
        <f>BD8</f>
        <v>-30000</v>
      </c>
      <c r="BF8" s="10">
        <f>BD8</f>
        <v>-30000</v>
      </c>
      <c r="BG8" s="10">
        <f>BF8</f>
        <v>-30000</v>
      </c>
      <c r="BH8" s="72"/>
    </row>
    <row r="9" spans="1:60" x14ac:dyDescent="0.2">
      <c r="A9" s="5">
        <f>IF(ROWS($A$9:A9)&gt;$B$4,"",ROWS($A$9:A9))</f>
        <v>1</v>
      </c>
      <c r="B9" s="8">
        <v>2000</v>
      </c>
      <c r="D9" s="126" t="s">
        <v>51</v>
      </c>
      <c r="E9" s="126"/>
      <c r="F9" s="16">
        <f ca="1">IF(OFFSET(BG8,B4,0,1,1)&lt;0,"NP",COUNT(BG9:BG33))</f>
        <v>4</v>
      </c>
      <c r="AZ9" s="71"/>
      <c r="BA9" s="49">
        <v>7</v>
      </c>
      <c r="BB9" s="40"/>
      <c r="BC9" s="15">
        <f t="shared" ref="BC9:BC33" si="0">A9</f>
        <v>1</v>
      </c>
      <c r="BD9" s="10">
        <f t="shared" ref="BD9:BD33" si="1">IF(A9="","",B9)</f>
        <v>2000</v>
      </c>
      <c r="BE9" s="10">
        <f>IF(BC9="","",IF(BE8&gt;=0,"",BD9+BE8))</f>
        <v>-28000</v>
      </c>
      <c r="BF9" s="60">
        <f>IF(A9="","",BD9/(1+$F$4)^BC9)</f>
        <v>1746.7248908296942</v>
      </c>
      <c r="BG9" s="10">
        <f>IF(BC9="","",IF(BG8&gt;=0,"",BF9+BG8))</f>
        <v>-28253.275109170307</v>
      </c>
      <c r="BH9" s="72"/>
    </row>
    <row r="10" spans="1:60" ht="16" thickBot="1" x14ac:dyDescent="0.25">
      <c r="A10" s="5">
        <f>IF(ROWS($A$9:A10)&gt;$B$4,"",ROWS($A$9:A10))</f>
        <v>2</v>
      </c>
      <c r="B10" s="8">
        <v>3000</v>
      </c>
      <c r="AZ10" s="71"/>
      <c r="BA10" s="49">
        <v>8</v>
      </c>
      <c r="BB10" s="40"/>
      <c r="BC10" s="15">
        <f t="shared" si="0"/>
        <v>2</v>
      </c>
      <c r="BD10" s="10">
        <f t="shared" si="1"/>
        <v>3000</v>
      </c>
      <c r="BE10" s="10">
        <f t="shared" ref="BE10:BE33" si="2">IF(BC10="","",IF(BE9&gt;=0,"",BD10+BE9))</f>
        <v>-25000</v>
      </c>
      <c r="BF10" s="60">
        <f t="shared" ref="BF10:BF33" si="3">IF(A10="","",BD10/(1+$F$4)^BC10)</f>
        <v>2288.2858831830054</v>
      </c>
      <c r="BG10" s="10">
        <f t="shared" ref="BG10:BG33" si="4">IF(BC10="","",IF(BG9&gt;=0,"",BF10+BG9))</f>
        <v>-25964.989225987301</v>
      </c>
      <c r="BH10" s="72"/>
    </row>
    <row r="11" spans="1:60" ht="16" thickBot="1" x14ac:dyDescent="0.25">
      <c r="A11" s="5">
        <f>IF(ROWS($A$9:A11)&gt;$B$4,"",ROWS($A$9:A11))</f>
        <v>3</v>
      </c>
      <c r="B11" s="8">
        <v>23000</v>
      </c>
      <c r="D11" s="88" t="s">
        <v>55</v>
      </c>
      <c r="E11" s="90"/>
      <c r="AZ11" s="71"/>
      <c r="BA11" s="49">
        <v>9</v>
      </c>
      <c r="BB11" s="40"/>
      <c r="BC11" s="15">
        <f t="shared" si="0"/>
        <v>3</v>
      </c>
      <c r="BD11" s="10">
        <f t="shared" si="1"/>
        <v>23000</v>
      </c>
      <c r="BE11" s="10">
        <f t="shared" si="2"/>
        <v>-2000</v>
      </c>
      <c r="BF11" s="60">
        <f t="shared" si="3"/>
        <v>15321.855986378201</v>
      </c>
      <c r="BG11" s="10">
        <f t="shared" si="4"/>
        <v>-10643.1332396091</v>
      </c>
      <c r="BH11" s="72"/>
    </row>
    <row r="12" spans="1:60" x14ac:dyDescent="0.2">
      <c r="A12" s="5">
        <f>IF(ROWS($A$9:A12)&gt;$B$4,"",ROWS($A$9:A12))</f>
        <v>4</v>
      </c>
      <c r="B12" s="8">
        <v>20000</v>
      </c>
      <c r="D12" s="71"/>
      <c r="E12" s="72"/>
      <c r="AZ12" s="71"/>
      <c r="BA12" s="49">
        <v>10</v>
      </c>
      <c r="BB12" s="40"/>
      <c r="BC12" s="15">
        <f t="shared" si="0"/>
        <v>4</v>
      </c>
      <c r="BD12" s="10">
        <f t="shared" si="1"/>
        <v>20000</v>
      </c>
      <c r="BE12" s="10">
        <f t="shared" si="2"/>
        <v>18000</v>
      </c>
      <c r="BF12" s="60">
        <f t="shared" si="3"/>
        <v>11636.116184832506</v>
      </c>
      <c r="BG12" s="10">
        <f t="shared" si="4"/>
        <v>992.9829452234062</v>
      </c>
      <c r="BH12" s="72"/>
    </row>
    <row r="13" spans="1:60" x14ac:dyDescent="0.2">
      <c r="A13" s="5">
        <f>IF(ROWS($A$9:A13)&gt;$B$4,"",ROWS($A$9:A13))</f>
        <v>5</v>
      </c>
      <c r="B13" s="8">
        <v>14000</v>
      </c>
      <c r="D13" s="71"/>
      <c r="E13" s="72"/>
      <c r="AZ13" s="71"/>
      <c r="BA13" s="49">
        <v>11</v>
      </c>
      <c r="BB13" s="40"/>
      <c r="BC13" s="15">
        <f t="shared" si="0"/>
        <v>5</v>
      </c>
      <c r="BD13" s="10">
        <f t="shared" si="1"/>
        <v>14000</v>
      </c>
      <c r="BE13" s="10" t="str">
        <f t="shared" si="2"/>
        <v/>
      </c>
      <c r="BF13" s="60">
        <f t="shared" si="3"/>
        <v>7113.7828204216194</v>
      </c>
      <c r="BG13" s="10" t="str">
        <f t="shared" si="4"/>
        <v/>
      </c>
      <c r="BH13" s="72"/>
    </row>
    <row r="14" spans="1:60" x14ac:dyDescent="0.2">
      <c r="A14" s="5">
        <f>IF(ROWS($A$9:A14)&gt;$B$4,"",ROWS($A$9:A14))</f>
        <v>6</v>
      </c>
      <c r="B14" s="8">
        <v>12000</v>
      </c>
      <c r="D14" s="71"/>
      <c r="E14" s="72"/>
      <c r="AZ14" s="71"/>
      <c r="BA14" s="49">
        <v>12</v>
      </c>
      <c r="BB14" s="40"/>
      <c r="BC14" s="15">
        <f t="shared" si="0"/>
        <v>6</v>
      </c>
      <c r="BD14" s="10">
        <f t="shared" si="1"/>
        <v>12000</v>
      </c>
      <c r="BE14" s="10" t="str">
        <f t="shared" si="2"/>
        <v/>
      </c>
      <c r="BF14" s="60">
        <f t="shared" si="3"/>
        <v>5325.3520801659033</v>
      </c>
      <c r="BG14" s="10" t="str">
        <f t="shared" si="4"/>
        <v/>
      </c>
      <c r="BH14" s="72"/>
    </row>
    <row r="15" spans="1:60" x14ac:dyDescent="0.2">
      <c r="A15" s="5">
        <f>IF(ROWS($A$9:A15)&gt;$B$4,"",ROWS($A$9:A15))</f>
        <v>7</v>
      </c>
      <c r="B15" s="8">
        <v>9000</v>
      </c>
      <c r="D15" s="71"/>
      <c r="E15" s="72"/>
      <c r="AZ15" s="71"/>
      <c r="BA15" s="49">
        <v>13</v>
      </c>
      <c r="BB15" s="40"/>
      <c r="BC15" s="15">
        <f t="shared" si="0"/>
        <v>7</v>
      </c>
      <c r="BD15" s="10">
        <f t="shared" si="1"/>
        <v>9000</v>
      </c>
      <c r="BE15" s="10" t="str">
        <f t="shared" si="2"/>
        <v/>
      </c>
      <c r="BF15" s="60">
        <f t="shared" si="3"/>
        <v>3488.2218865715522</v>
      </c>
      <c r="BG15" s="10" t="str">
        <f t="shared" si="4"/>
        <v/>
      </c>
      <c r="BH15" s="72"/>
    </row>
    <row r="16" spans="1:60" x14ac:dyDescent="0.2">
      <c r="A16" s="5">
        <f>IF(ROWS($A$9:A16)&gt;$B$4,"",ROWS($A$9:A16))</f>
        <v>8</v>
      </c>
      <c r="B16" s="8">
        <v>5000</v>
      </c>
      <c r="D16" s="71"/>
      <c r="E16" s="72"/>
      <c r="AZ16" s="71"/>
      <c r="BA16" s="49">
        <v>14</v>
      </c>
      <c r="BB16" s="40"/>
      <c r="BC16" s="15">
        <f t="shared" si="0"/>
        <v>8</v>
      </c>
      <c r="BD16" s="10">
        <f t="shared" si="1"/>
        <v>5000</v>
      </c>
      <c r="BE16" s="10" t="str">
        <f t="shared" si="2"/>
        <v/>
      </c>
      <c r="BF16" s="60">
        <f t="shared" si="3"/>
        <v>1692.4899983365124</v>
      </c>
      <c r="BG16" s="10" t="str">
        <f t="shared" si="4"/>
        <v/>
      </c>
      <c r="BH16" s="72"/>
    </row>
    <row r="17" spans="1:60" ht="16" thickBot="1" x14ac:dyDescent="0.25">
      <c r="A17" s="5">
        <f>IF(ROWS($A$9:A17)&gt;$B$4,"",ROWS($A$9:A17))</f>
        <v>9</v>
      </c>
      <c r="B17" s="8">
        <v>5000</v>
      </c>
      <c r="D17" s="78"/>
      <c r="E17" s="77"/>
      <c r="AZ17" s="71"/>
      <c r="BA17" s="49">
        <v>15</v>
      </c>
      <c r="BB17" s="40"/>
      <c r="BC17" s="15">
        <f t="shared" si="0"/>
        <v>9</v>
      </c>
      <c r="BD17" s="10">
        <f t="shared" si="1"/>
        <v>5000</v>
      </c>
      <c r="BE17" s="10" t="str">
        <f t="shared" si="2"/>
        <v/>
      </c>
      <c r="BF17" s="60">
        <f t="shared" si="3"/>
        <v>1478.157203787347</v>
      </c>
      <c r="BG17" s="10" t="str">
        <f t="shared" si="4"/>
        <v/>
      </c>
      <c r="BH17" s="72"/>
    </row>
    <row r="18" spans="1:60" x14ac:dyDescent="0.2">
      <c r="A18" s="5">
        <f>IF(ROWS($A$9:A18)&gt;$B$4,"",ROWS($A$9:A18))</f>
        <v>10</v>
      </c>
      <c r="B18" s="8">
        <v>5000</v>
      </c>
      <c r="AZ18" s="71"/>
      <c r="BA18" s="49">
        <v>16</v>
      </c>
      <c r="BB18" s="40"/>
      <c r="BC18" s="15">
        <f t="shared" si="0"/>
        <v>10</v>
      </c>
      <c r="BD18" s="10">
        <f t="shared" si="1"/>
        <v>5000</v>
      </c>
      <c r="BE18" s="10" t="str">
        <f t="shared" si="2"/>
        <v/>
      </c>
      <c r="BF18" s="60">
        <f t="shared" si="3"/>
        <v>1290.9669902072899</v>
      </c>
      <c r="BG18" s="10" t="str">
        <f t="shared" si="4"/>
        <v/>
      </c>
      <c r="BH18" s="72"/>
    </row>
    <row r="19" spans="1:60" x14ac:dyDescent="0.2">
      <c r="A19" s="5">
        <f>IF(ROWS($A$9:A19)&gt;$B$4,"",ROWS($A$9:A19))</f>
        <v>11</v>
      </c>
      <c r="B19" s="8">
        <v>5000</v>
      </c>
      <c r="D19" s="12"/>
      <c r="AZ19" s="71"/>
      <c r="BA19" s="49">
        <v>17</v>
      </c>
      <c r="BB19" s="40"/>
      <c r="BC19" s="15">
        <f t="shared" si="0"/>
        <v>11</v>
      </c>
      <c r="BD19" s="10">
        <f t="shared" si="1"/>
        <v>5000</v>
      </c>
      <c r="BE19" s="10" t="str">
        <f t="shared" si="2"/>
        <v/>
      </c>
      <c r="BF19" s="60">
        <f t="shared" si="3"/>
        <v>1127.4820875172836</v>
      </c>
      <c r="BG19" s="10" t="str">
        <f t="shared" si="4"/>
        <v/>
      </c>
      <c r="BH19" s="72"/>
    </row>
    <row r="20" spans="1:60" x14ac:dyDescent="0.2">
      <c r="A20" s="5">
        <f>IF(ROWS($A$9:A20)&gt;$B$4,"",ROWS($A$9:A20))</f>
        <v>12</v>
      </c>
      <c r="B20" s="8">
        <v>5000</v>
      </c>
      <c r="AZ20" s="71"/>
      <c r="BA20" s="49">
        <v>18</v>
      </c>
      <c r="BB20" s="40"/>
      <c r="BC20" s="15">
        <f t="shared" si="0"/>
        <v>12</v>
      </c>
      <c r="BD20" s="10">
        <f t="shared" si="1"/>
        <v>5000</v>
      </c>
      <c r="BE20" s="10" t="str">
        <f t="shared" si="2"/>
        <v/>
      </c>
      <c r="BF20" s="60">
        <f t="shared" si="3"/>
        <v>984.70051311553163</v>
      </c>
      <c r="BG20" s="10" t="str">
        <f t="shared" si="4"/>
        <v/>
      </c>
      <c r="BH20" s="72"/>
    </row>
    <row r="21" spans="1:60" x14ac:dyDescent="0.2">
      <c r="A21" s="5">
        <f>IF(ROWS($A$9:A21)&gt;$B$4,"",ROWS($A$9:A21))</f>
        <v>13</v>
      </c>
      <c r="B21" s="8">
        <v>5000</v>
      </c>
      <c r="AZ21" s="71"/>
      <c r="BA21" s="49">
        <v>19</v>
      </c>
      <c r="BB21" s="40"/>
      <c r="BC21" s="15">
        <f t="shared" si="0"/>
        <v>13</v>
      </c>
      <c r="BD21" s="10">
        <f t="shared" si="1"/>
        <v>5000</v>
      </c>
      <c r="BE21" s="10" t="str">
        <f t="shared" si="2"/>
        <v/>
      </c>
      <c r="BF21" s="60">
        <f t="shared" si="3"/>
        <v>860.00044813583543</v>
      </c>
      <c r="BG21" s="10" t="str">
        <f t="shared" si="4"/>
        <v/>
      </c>
      <c r="BH21" s="72"/>
    </row>
    <row r="22" spans="1:60" x14ac:dyDescent="0.2">
      <c r="A22" s="5">
        <f>IF(ROWS($A$9:A22)&gt;$B$4,"",ROWS($A$9:A22))</f>
        <v>14</v>
      </c>
      <c r="B22" s="8">
        <v>5000</v>
      </c>
      <c r="AZ22" s="71"/>
      <c r="BA22" s="49">
        <v>20</v>
      </c>
      <c r="BB22" s="40"/>
      <c r="BC22" s="15">
        <f t="shared" si="0"/>
        <v>14</v>
      </c>
      <c r="BD22" s="10">
        <f t="shared" si="1"/>
        <v>5000</v>
      </c>
      <c r="BE22" s="10" t="str">
        <f t="shared" si="2"/>
        <v/>
      </c>
      <c r="BF22" s="60">
        <f t="shared" si="3"/>
        <v>751.0920944417777</v>
      </c>
      <c r="BG22" s="10" t="str">
        <f t="shared" si="4"/>
        <v/>
      </c>
      <c r="BH22" s="72"/>
    </row>
    <row r="23" spans="1:60" x14ac:dyDescent="0.2">
      <c r="A23" s="5" t="str">
        <f>IF(ROWS($A$9:A23)&gt;$B$4,"",ROWS($A$9:A23))</f>
        <v/>
      </c>
      <c r="B23" s="8">
        <v>15000</v>
      </c>
      <c r="AZ23" s="71"/>
      <c r="BA23" s="49">
        <v>21</v>
      </c>
      <c r="BB23" s="40"/>
      <c r="BC23" s="15" t="str">
        <f t="shared" si="0"/>
        <v/>
      </c>
      <c r="BD23" s="10" t="str">
        <f t="shared" si="1"/>
        <v/>
      </c>
      <c r="BE23" s="10" t="str">
        <f t="shared" si="2"/>
        <v/>
      </c>
      <c r="BF23" s="60" t="str">
        <f t="shared" si="3"/>
        <v/>
      </c>
      <c r="BG23" s="10" t="str">
        <f t="shared" si="4"/>
        <v/>
      </c>
      <c r="BH23" s="72"/>
    </row>
    <row r="24" spans="1:60" x14ac:dyDescent="0.2">
      <c r="A24" s="5" t="str">
        <f>IF(ROWS($A$9:A24)&gt;$B$4,"",ROWS($A$9:A24))</f>
        <v/>
      </c>
      <c r="B24" s="8">
        <v>8000</v>
      </c>
      <c r="AZ24" s="71"/>
      <c r="BA24" s="49">
        <v>22</v>
      </c>
      <c r="BB24" s="40"/>
      <c r="BC24" s="15" t="str">
        <f t="shared" si="0"/>
        <v/>
      </c>
      <c r="BD24" s="10" t="str">
        <f t="shared" si="1"/>
        <v/>
      </c>
      <c r="BE24" s="10" t="str">
        <f t="shared" si="2"/>
        <v/>
      </c>
      <c r="BF24" s="60" t="str">
        <f t="shared" si="3"/>
        <v/>
      </c>
      <c r="BG24" s="10" t="str">
        <f t="shared" si="4"/>
        <v/>
      </c>
      <c r="BH24" s="72"/>
    </row>
    <row r="25" spans="1:60" x14ac:dyDescent="0.2">
      <c r="A25" s="5" t="str">
        <f>IF(ROWS($A$9:A25)&gt;$B$4,"",ROWS($A$9:A25))</f>
        <v/>
      </c>
      <c r="B25" s="8">
        <v>8000</v>
      </c>
      <c r="AZ25" s="71"/>
      <c r="BA25" s="49">
        <v>23</v>
      </c>
      <c r="BB25" s="40"/>
      <c r="BC25" s="15" t="str">
        <f t="shared" si="0"/>
        <v/>
      </c>
      <c r="BD25" s="10" t="str">
        <f t="shared" si="1"/>
        <v/>
      </c>
      <c r="BE25" s="10" t="str">
        <f t="shared" si="2"/>
        <v/>
      </c>
      <c r="BF25" s="60" t="str">
        <f t="shared" si="3"/>
        <v/>
      </c>
      <c r="BG25" s="10" t="str">
        <f t="shared" si="4"/>
        <v/>
      </c>
      <c r="BH25" s="72"/>
    </row>
    <row r="26" spans="1:60" x14ac:dyDescent="0.2">
      <c r="A26" s="5" t="str">
        <f>IF(ROWS($A$9:A26)&gt;$B$4,"",ROWS($A$9:A26))</f>
        <v/>
      </c>
      <c r="B26" s="8">
        <v>8000</v>
      </c>
      <c r="AZ26" s="71"/>
      <c r="BA26" s="49">
        <v>24</v>
      </c>
      <c r="BB26" s="40"/>
      <c r="BC26" s="15" t="str">
        <f t="shared" si="0"/>
        <v/>
      </c>
      <c r="BD26" s="10" t="str">
        <f t="shared" si="1"/>
        <v/>
      </c>
      <c r="BE26" s="10" t="str">
        <f t="shared" si="2"/>
        <v/>
      </c>
      <c r="BF26" s="60" t="str">
        <f t="shared" si="3"/>
        <v/>
      </c>
      <c r="BG26" s="10" t="str">
        <f t="shared" si="4"/>
        <v/>
      </c>
      <c r="BH26" s="72"/>
    </row>
    <row r="27" spans="1:60" x14ac:dyDescent="0.2">
      <c r="A27" s="5" t="str">
        <f>IF(ROWS($A$9:A27)&gt;$B$4,"",ROWS($A$9:A27))</f>
        <v/>
      </c>
      <c r="B27" s="8">
        <v>8000</v>
      </c>
      <c r="AZ27" s="71"/>
      <c r="BA27" s="49">
        <v>25</v>
      </c>
      <c r="BB27" s="40"/>
      <c r="BC27" s="15" t="str">
        <f t="shared" si="0"/>
        <v/>
      </c>
      <c r="BD27" s="10" t="str">
        <f t="shared" si="1"/>
        <v/>
      </c>
      <c r="BE27" s="10" t="str">
        <f t="shared" si="2"/>
        <v/>
      </c>
      <c r="BF27" s="60" t="str">
        <f t="shared" si="3"/>
        <v/>
      </c>
      <c r="BG27" s="10" t="str">
        <f t="shared" si="4"/>
        <v/>
      </c>
      <c r="BH27" s="72"/>
    </row>
    <row r="28" spans="1:60" x14ac:dyDescent="0.2">
      <c r="A28" s="5" t="str">
        <f>IF(ROWS($A$9:A28)&gt;$B$4,"",ROWS($A$9:A28))</f>
        <v/>
      </c>
      <c r="B28" s="8">
        <v>8000</v>
      </c>
      <c r="AZ28" s="71"/>
      <c r="BA28" s="40"/>
      <c r="BB28" s="40"/>
      <c r="BC28" s="15" t="str">
        <f t="shared" si="0"/>
        <v/>
      </c>
      <c r="BD28" s="10" t="str">
        <f t="shared" si="1"/>
        <v/>
      </c>
      <c r="BE28" s="10" t="str">
        <f t="shared" si="2"/>
        <v/>
      </c>
      <c r="BF28" s="60" t="str">
        <f t="shared" si="3"/>
        <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1:E11"/>
    <mergeCell ref="D9:E9"/>
    <mergeCell ref="BF6:BG6"/>
    <mergeCell ref="D8:E8"/>
    <mergeCell ref="BC6:BE6"/>
  </mergeCells>
  <conditionalFormatting sqref="A8:B33">
    <cfRule type="expression" dxfId="3" priority="6">
      <formula>$A8=""</formula>
    </cfRule>
  </conditionalFormatting>
  <conditionalFormatting sqref="BC8:BG33">
    <cfRule type="expression" dxfId="2" priority="1">
      <formula>$BC8=""</formula>
    </cfRule>
  </conditionalFormatting>
  <dataValidations count="4">
    <dataValidation type="custom" allowBlank="1" showInputMessage="1" showErrorMessage="1" error="The expected cashflow from year 1 onwards should be a number" sqref="B9:B33" xr:uid="{527CAD8D-1A35-4040-A14C-306B86C706DA}">
      <formula1>ISNUMBER(B9)</formula1>
    </dataValidation>
    <dataValidation type="custom" allowBlank="1" showInputMessage="1" showErrorMessage="1" error="The Expected cashflow for year 0 should be negative" sqref="B8" xr:uid="{7B31FCF3-2D7C-4373-BE29-22EF922B6592}">
      <formula1>B8&lt;0</formula1>
    </dataValidation>
    <dataValidation type="decimal" allowBlank="1" showInputMessage="1" showErrorMessage="1" errorTitle="Beta Value Input Error" error="Please enter decimal value between 0 and 3. If you want to make changes please contact an expert " sqref="B5" xr:uid="{697E0D76-683C-4EA2-A1FA-257BCAFFD2DB}">
      <formula1>0</formula1>
      <formula2>3</formula2>
    </dataValidation>
    <dataValidation type="list" allowBlank="1" showInputMessage="1" showErrorMessage="1" sqref="B4" xr:uid="{4E8CD7E0-E295-4C69-9FE5-849BD00ED5DB}">
      <formula1>$BA$5:$BA$27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GoToSummary">
                <anchor moveWithCells="1" sizeWithCells="1">
                  <from>
                    <xdr:col>3</xdr:col>
                    <xdr:colOff>304800</xdr:colOff>
                    <xdr:row>11</xdr:row>
                    <xdr:rowOff>177800</xdr:rowOff>
                  </from>
                  <to>
                    <xdr:col>4</xdr:col>
                    <xdr:colOff>1041400</xdr:colOff>
                    <xdr:row>13</xdr:row>
                    <xdr:rowOff>177800</xdr:rowOff>
                  </to>
                </anchor>
              </controlPr>
            </control>
          </mc:Choice>
        </mc:AlternateContent>
        <mc:AlternateContent xmlns:mc="http://schemas.openxmlformats.org/markup-compatibility/2006">
          <mc:Choice Requires="x14">
            <control shapeId="16386" r:id="rId4" name="Button 2">
              <controlPr defaultSize="0" print="0" autoFill="0" autoPict="0" macro="[0]!GoToNPV_Profile">
                <anchor moveWithCells="1" sizeWithCells="1">
                  <from>
                    <xdr:col>3</xdr:col>
                    <xdr:colOff>292100</xdr:colOff>
                    <xdr:row>14</xdr:row>
                    <xdr:rowOff>76200</xdr:rowOff>
                  </from>
                  <to>
                    <xdr:col>4</xdr:col>
                    <xdr:colOff>1028700</xdr:colOff>
                    <xdr:row>16</xdr:row>
                    <xdr:rowOff>63500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00B8E-03DE-4324-8BCE-6A45033DC693}">
  <sheetPr codeName="Sheet14">
    <tabColor theme="7"/>
  </sheetPr>
  <dimension ref="A1:BH37"/>
  <sheetViews>
    <sheetView showGridLines="0" zoomScaleNormal="100" workbookViewId="0"/>
  </sheetViews>
  <sheetFormatPr baseColWidth="10" defaultColWidth="8.83203125" defaultRowHeight="15" x14ac:dyDescent="0.2"/>
  <cols>
    <col min="4" max="4" width="14.5" customWidth="1"/>
    <col min="5" max="5" width="20.5" customWidth="1"/>
    <col min="6" max="6" width="13.83203125" customWidth="1"/>
    <col min="53" max="53" width="11" bestFit="1" customWidth="1"/>
    <col min="57" max="57" width="13.83203125" bestFit="1" customWidth="1"/>
    <col min="58" max="58" width="16" bestFit="1" customWidth="1"/>
    <col min="59" max="59" width="13.83203125" bestFit="1" customWidth="1"/>
  </cols>
  <sheetData>
    <row r="1" spans="1:60" x14ac:dyDescent="0.2">
      <c r="AZ1" s="120" t="s">
        <v>60</v>
      </c>
      <c r="BA1" s="121"/>
      <c r="BB1" s="121"/>
      <c r="BC1" s="121"/>
      <c r="BD1" s="121"/>
      <c r="BE1" s="121"/>
      <c r="BF1" s="121"/>
      <c r="BG1" s="121"/>
      <c r="BH1" s="122"/>
    </row>
    <row r="2" spans="1:60" ht="16" thickBot="1" x14ac:dyDescent="0.25">
      <c r="B2" s="128" t="s">
        <v>2</v>
      </c>
      <c r="C2" s="128"/>
      <c r="D2" s="128"/>
      <c r="E2" s="128"/>
      <c r="F2" s="128"/>
      <c r="AZ2" s="123"/>
      <c r="BA2" s="124"/>
      <c r="BB2" s="124"/>
      <c r="BC2" s="124"/>
      <c r="BD2" s="124"/>
      <c r="BE2" s="124"/>
      <c r="BF2" s="124"/>
      <c r="BG2" s="124"/>
      <c r="BH2" s="125"/>
    </row>
    <row r="3" spans="1:60" x14ac:dyDescent="0.2">
      <c r="I3" s="101" t="s">
        <v>56</v>
      </c>
      <c r="J3" s="102"/>
      <c r="K3" s="69"/>
      <c r="AZ3" s="71"/>
      <c r="BA3" s="40"/>
      <c r="BB3" s="40"/>
      <c r="BC3" s="40"/>
      <c r="BD3" s="101" t="s">
        <v>64</v>
      </c>
      <c r="BE3" s="102"/>
      <c r="BF3" s="83"/>
      <c r="BG3" s="40"/>
      <c r="BH3" s="72"/>
    </row>
    <row r="4" spans="1:60" x14ac:dyDescent="0.2">
      <c r="A4" s="5" t="s">
        <v>7</v>
      </c>
      <c r="B4" s="7">
        <v>20</v>
      </c>
      <c r="D4" s="126" t="s">
        <v>3</v>
      </c>
      <c r="E4" s="126"/>
      <c r="F4" s="9">
        <f>RfRate+ProjectK!B5*MRP</f>
        <v>8.2000000000000003E-2</v>
      </c>
      <c r="I4" s="103"/>
      <c r="J4" s="104"/>
      <c r="K4" s="70"/>
      <c r="AZ4" s="71"/>
      <c r="BA4" s="4" t="s">
        <v>11</v>
      </c>
      <c r="BB4" s="40"/>
      <c r="BC4" s="40"/>
      <c r="BD4" s="103"/>
      <c r="BE4" s="104"/>
      <c r="BF4" s="70"/>
      <c r="BG4" s="40"/>
      <c r="BH4" s="72"/>
    </row>
    <row r="5" spans="1:60" x14ac:dyDescent="0.2">
      <c r="A5" s="5" t="s">
        <v>8</v>
      </c>
      <c r="B5" s="6">
        <v>0.6</v>
      </c>
      <c r="D5" s="126" t="s">
        <v>4</v>
      </c>
      <c r="E5" s="126"/>
      <c r="F5" s="10">
        <f ca="1">$B$8+NPV($F$4,B9:OFFSET(B8,B4,0))</f>
        <v>22389.813523163903</v>
      </c>
      <c r="AZ5" s="71"/>
      <c r="BA5" s="49">
        <v>3</v>
      </c>
      <c r="BB5" s="40"/>
      <c r="BC5" s="40"/>
      <c r="BD5" s="40"/>
      <c r="BE5" s="40"/>
      <c r="BF5" s="40"/>
      <c r="BG5" s="40"/>
      <c r="BH5" s="72"/>
    </row>
    <row r="6" spans="1:60" x14ac:dyDescent="0.2">
      <c r="D6" s="126" t="s">
        <v>5</v>
      </c>
      <c r="E6" s="126"/>
      <c r="F6" s="11">
        <f ca="1">SUM($B$8:OFFSET(B8,B4,0))/(-$B$8*$B$4)</f>
        <v>9.5454545454545459E-2</v>
      </c>
      <c r="AZ6" s="71"/>
      <c r="BA6" s="49">
        <v>4</v>
      </c>
      <c r="BB6" s="40"/>
      <c r="BC6" s="127" t="s">
        <v>49</v>
      </c>
      <c r="BD6" s="127"/>
      <c r="BE6" s="127"/>
      <c r="BF6" s="129" t="s">
        <v>51</v>
      </c>
      <c r="BG6" s="129"/>
      <c r="BH6" s="72"/>
    </row>
    <row r="7" spans="1:60" x14ac:dyDescent="0.2">
      <c r="A7" s="4" t="s">
        <v>9</v>
      </c>
      <c r="B7" s="4" t="s">
        <v>10</v>
      </c>
      <c r="D7" s="126" t="s">
        <v>6</v>
      </c>
      <c r="E7" s="126"/>
      <c r="F7" s="11">
        <f ca="1">IFERROR(IRR(B8:OFFSET(B8,B4,0),F6),"No IRR")</f>
        <v>0.13361222246151949</v>
      </c>
      <c r="AZ7" s="71"/>
      <c r="BA7" s="49">
        <v>5</v>
      </c>
      <c r="BB7" s="40"/>
      <c r="BC7" s="21" t="s">
        <v>9</v>
      </c>
      <c r="BD7" s="21" t="s">
        <v>10</v>
      </c>
      <c r="BE7" s="21" t="s">
        <v>47</v>
      </c>
      <c r="BF7" s="21" t="s">
        <v>59</v>
      </c>
      <c r="BG7" s="21" t="s">
        <v>47</v>
      </c>
      <c r="BH7" s="72"/>
    </row>
    <row r="8" spans="1:60" x14ac:dyDescent="0.2">
      <c r="A8" s="5">
        <v>0</v>
      </c>
      <c r="B8" s="8">
        <v>-55000</v>
      </c>
      <c r="D8" s="126" t="s">
        <v>48</v>
      </c>
      <c r="E8" s="126"/>
      <c r="F8" s="16">
        <f ca="1">IF(OFFSET(BE8,B4,0,1,1)&lt;0,"NP",COUNT(BE9:BE33))</f>
        <v>7</v>
      </c>
      <c r="AZ8" s="71"/>
      <c r="BA8" s="49">
        <v>6</v>
      </c>
      <c r="BB8" s="40"/>
      <c r="BC8" s="15">
        <f>A8</f>
        <v>0</v>
      </c>
      <c r="BD8" s="10">
        <f>IF(A8="","",B8)</f>
        <v>-55000</v>
      </c>
      <c r="BE8" s="10">
        <f>BD8</f>
        <v>-55000</v>
      </c>
      <c r="BF8" s="10">
        <f>BD8</f>
        <v>-55000</v>
      </c>
      <c r="BG8" s="10">
        <f>BF8</f>
        <v>-55000</v>
      </c>
      <c r="BH8" s="72"/>
    </row>
    <row r="9" spans="1:60" x14ac:dyDescent="0.2">
      <c r="A9" s="5">
        <f>IF(ROWS($A$9:A9)&gt;$B$4,"",ROWS($A$9:A9))</f>
        <v>1</v>
      </c>
      <c r="B9" s="8">
        <v>8000</v>
      </c>
      <c r="D9" s="126" t="s">
        <v>51</v>
      </c>
      <c r="E9" s="126"/>
      <c r="F9" s="16">
        <f ca="1">IF(OFFSET(BG8,B4,0,1,1)&lt;0,"NP",COUNT(BG9:BG33))</f>
        <v>11</v>
      </c>
      <c r="AZ9" s="71"/>
      <c r="BA9" s="49">
        <v>7</v>
      </c>
      <c r="BB9" s="40"/>
      <c r="BC9" s="15">
        <f t="shared" ref="BC9:BC33" si="0">A9</f>
        <v>1</v>
      </c>
      <c r="BD9" s="10">
        <f t="shared" ref="BD9:BD33" si="1">IF(A9="","",B9)</f>
        <v>8000</v>
      </c>
      <c r="BE9" s="10">
        <f>IF(BC9="","",IF(BE8&gt;=0,"",BD9+BE8))</f>
        <v>-47000</v>
      </c>
      <c r="BF9" s="60">
        <f>IF(A9="","",BD9/(1+$F$4)^BC9)</f>
        <v>7393.7153419593342</v>
      </c>
      <c r="BG9" s="10">
        <f>IF(BC9="","",IF(BG8&gt;=0,"",BF9+BG8))</f>
        <v>-47606.284658040662</v>
      </c>
      <c r="BH9" s="72"/>
    </row>
    <row r="10" spans="1:60" x14ac:dyDescent="0.2">
      <c r="A10" s="5">
        <f>IF(ROWS($A$9:A10)&gt;$B$4,"",ROWS($A$9:A10))</f>
        <v>2</v>
      </c>
      <c r="B10" s="8">
        <v>8000</v>
      </c>
      <c r="AZ10" s="71"/>
      <c r="BA10" s="49">
        <v>8</v>
      </c>
      <c r="BB10" s="40"/>
      <c r="BC10" s="15">
        <f t="shared" si="0"/>
        <v>2</v>
      </c>
      <c r="BD10" s="10">
        <f t="shared" si="1"/>
        <v>8000</v>
      </c>
      <c r="BE10" s="10">
        <f t="shared" ref="BE10:BE33" si="2">IF(BC10="","",IF(BE9&gt;=0,"",BD10+BE9))</f>
        <v>-39000</v>
      </c>
      <c r="BF10" s="60">
        <f t="shared" ref="BF10:BF33" si="3">IF(A10="","",BD10/(1+$F$4)^BC10)</f>
        <v>6833.3783197406046</v>
      </c>
      <c r="BG10" s="10">
        <f t="shared" ref="BG10:BG33" si="4">IF(BC10="","",IF(BG9&gt;=0,"",BF10+BG9))</f>
        <v>-40772.906338300061</v>
      </c>
      <c r="BH10" s="72"/>
    </row>
    <row r="11" spans="1:60" ht="16" thickBot="1" x14ac:dyDescent="0.25">
      <c r="A11" s="5">
        <f>IF(ROWS($A$9:A11)&gt;$B$4,"",ROWS($A$9:A11))</f>
        <v>3</v>
      </c>
      <c r="B11" s="8">
        <v>8000</v>
      </c>
      <c r="AZ11" s="71"/>
      <c r="BA11" s="49">
        <v>9</v>
      </c>
      <c r="BB11" s="40"/>
      <c r="BC11" s="15">
        <f t="shared" si="0"/>
        <v>3</v>
      </c>
      <c r="BD11" s="10">
        <f t="shared" si="1"/>
        <v>8000</v>
      </c>
      <c r="BE11" s="10">
        <f t="shared" si="2"/>
        <v>-31000</v>
      </c>
      <c r="BF11" s="60">
        <f t="shared" si="3"/>
        <v>6315.5067650097999</v>
      </c>
      <c r="BG11" s="10">
        <f t="shared" si="4"/>
        <v>-34457.399573290262</v>
      </c>
      <c r="BH11" s="72"/>
    </row>
    <row r="12" spans="1:60" ht="16" thickBot="1" x14ac:dyDescent="0.25">
      <c r="A12" s="5">
        <f>IF(ROWS($A$9:A12)&gt;$B$4,"",ROWS($A$9:A12))</f>
        <v>4</v>
      </c>
      <c r="B12" s="8">
        <v>8000</v>
      </c>
      <c r="D12" s="88" t="s">
        <v>55</v>
      </c>
      <c r="E12" s="90"/>
      <c r="AZ12" s="71"/>
      <c r="BA12" s="49">
        <v>10</v>
      </c>
      <c r="BB12" s="40"/>
      <c r="BC12" s="15">
        <f t="shared" si="0"/>
        <v>4</v>
      </c>
      <c r="BD12" s="10">
        <f t="shared" si="1"/>
        <v>8000</v>
      </c>
      <c r="BE12" s="10">
        <f t="shared" si="2"/>
        <v>-23000</v>
      </c>
      <c r="BF12" s="60">
        <f t="shared" si="3"/>
        <v>5836.8824075876164</v>
      </c>
      <c r="BG12" s="10">
        <f t="shared" si="4"/>
        <v>-28620.517165702644</v>
      </c>
      <c r="BH12" s="72"/>
    </row>
    <row r="13" spans="1:60" x14ac:dyDescent="0.2">
      <c r="A13" s="5">
        <f>IF(ROWS($A$9:A13)&gt;$B$4,"",ROWS($A$9:A13))</f>
        <v>5</v>
      </c>
      <c r="B13" s="8">
        <v>8000</v>
      </c>
      <c r="D13" s="71"/>
      <c r="E13" s="72"/>
      <c r="AZ13" s="71"/>
      <c r="BA13" s="49">
        <v>11</v>
      </c>
      <c r="BB13" s="40"/>
      <c r="BC13" s="15">
        <f t="shared" si="0"/>
        <v>5</v>
      </c>
      <c r="BD13" s="10">
        <f t="shared" si="1"/>
        <v>8000</v>
      </c>
      <c r="BE13" s="10">
        <f t="shared" si="2"/>
        <v>-15000</v>
      </c>
      <c r="BF13" s="60">
        <f t="shared" si="3"/>
        <v>5394.5308757741359</v>
      </c>
      <c r="BG13" s="10">
        <f t="shared" si="4"/>
        <v>-23225.986289928507</v>
      </c>
      <c r="BH13" s="72"/>
    </row>
    <row r="14" spans="1:60" x14ac:dyDescent="0.2">
      <c r="A14" s="5">
        <f>IF(ROWS($A$9:A14)&gt;$B$4,"",ROWS($A$9:A14))</f>
        <v>6</v>
      </c>
      <c r="B14" s="8">
        <v>8000</v>
      </c>
      <c r="D14" s="71"/>
      <c r="E14" s="72"/>
      <c r="AZ14" s="71"/>
      <c r="BA14" s="49">
        <v>12</v>
      </c>
      <c r="BB14" s="40"/>
      <c r="BC14" s="15">
        <f t="shared" si="0"/>
        <v>6</v>
      </c>
      <c r="BD14" s="10">
        <f t="shared" si="1"/>
        <v>8000</v>
      </c>
      <c r="BE14" s="10">
        <f t="shared" si="2"/>
        <v>-7000</v>
      </c>
      <c r="BF14" s="60">
        <f t="shared" si="3"/>
        <v>4985.7032123605695</v>
      </c>
      <c r="BG14" s="10">
        <f t="shared" si="4"/>
        <v>-18240.283077567939</v>
      </c>
      <c r="BH14" s="72"/>
    </row>
    <row r="15" spans="1:60" x14ac:dyDescent="0.2">
      <c r="A15" s="5">
        <f>IF(ROWS($A$9:A15)&gt;$B$4,"",ROWS($A$9:A15))</f>
        <v>7</v>
      </c>
      <c r="B15" s="8">
        <v>8000</v>
      </c>
      <c r="D15" s="71"/>
      <c r="E15" s="72"/>
      <c r="AZ15" s="71"/>
      <c r="BA15" s="49">
        <v>13</v>
      </c>
      <c r="BB15" s="40"/>
      <c r="BC15" s="15">
        <f t="shared" si="0"/>
        <v>7</v>
      </c>
      <c r="BD15" s="10">
        <f t="shared" si="1"/>
        <v>8000</v>
      </c>
      <c r="BE15" s="10">
        <f t="shared" si="2"/>
        <v>1000</v>
      </c>
      <c r="BF15" s="60">
        <f t="shared" si="3"/>
        <v>4607.8587914607851</v>
      </c>
      <c r="BG15" s="10">
        <f t="shared" si="4"/>
        <v>-13632.424286107154</v>
      </c>
      <c r="BH15" s="72"/>
    </row>
    <row r="16" spans="1:60" x14ac:dyDescent="0.2">
      <c r="A16" s="5">
        <f>IF(ROWS($A$9:A16)&gt;$B$4,"",ROWS($A$9:A16))</f>
        <v>8</v>
      </c>
      <c r="B16" s="8">
        <v>8000</v>
      </c>
      <c r="D16" s="71"/>
      <c r="E16" s="72"/>
      <c r="AZ16" s="71"/>
      <c r="BA16" s="49">
        <v>14</v>
      </c>
      <c r="BB16" s="40"/>
      <c r="BC16" s="15">
        <f t="shared" si="0"/>
        <v>8</v>
      </c>
      <c r="BD16" s="10">
        <f t="shared" si="1"/>
        <v>8000</v>
      </c>
      <c r="BE16" s="10" t="str">
        <f t="shared" si="2"/>
        <v/>
      </c>
      <c r="BF16" s="60">
        <f t="shared" si="3"/>
        <v>4258.6495300007255</v>
      </c>
      <c r="BG16" s="10">
        <f t="shared" si="4"/>
        <v>-9373.774756106428</v>
      </c>
      <c r="BH16" s="72"/>
    </row>
    <row r="17" spans="1:60" x14ac:dyDescent="0.2">
      <c r="A17" s="5">
        <f>IF(ROWS($A$9:A17)&gt;$B$4,"",ROWS($A$9:A17))</f>
        <v>9</v>
      </c>
      <c r="B17" s="8">
        <v>8000</v>
      </c>
      <c r="D17" s="71"/>
      <c r="E17" s="72"/>
      <c r="AZ17" s="71"/>
      <c r="BA17" s="49">
        <v>15</v>
      </c>
      <c r="BB17" s="40"/>
      <c r="BC17" s="15">
        <f t="shared" si="0"/>
        <v>9</v>
      </c>
      <c r="BD17" s="10">
        <f t="shared" si="1"/>
        <v>8000</v>
      </c>
      <c r="BE17" s="10" t="str">
        <f t="shared" si="2"/>
        <v/>
      </c>
      <c r="BF17" s="60">
        <f t="shared" si="3"/>
        <v>3935.9052957492841</v>
      </c>
      <c r="BG17" s="10">
        <f t="shared" si="4"/>
        <v>-5437.8694603571439</v>
      </c>
      <c r="BH17" s="72"/>
    </row>
    <row r="18" spans="1:60" ht="16" thickBot="1" x14ac:dyDescent="0.25">
      <c r="A18" s="5">
        <f>IF(ROWS($A$9:A18)&gt;$B$4,"",ROWS($A$9:A18))</f>
        <v>10</v>
      </c>
      <c r="B18" s="8">
        <v>8000</v>
      </c>
      <c r="D18" s="78"/>
      <c r="E18" s="77"/>
      <c r="AZ18" s="71"/>
      <c r="BA18" s="49">
        <v>16</v>
      </c>
      <c r="BB18" s="40"/>
      <c r="BC18" s="15">
        <f t="shared" si="0"/>
        <v>10</v>
      </c>
      <c r="BD18" s="10">
        <f t="shared" si="1"/>
        <v>8000</v>
      </c>
      <c r="BE18" s="10" t="str">
        <f t="shared" si="2"/>
        <v/>
      </c>
      <c r="BF18" s="60">
        <f t="shared" si="3"/>
        <v>3637.6204212100588</v>
      </c>
      <c r="BG18" s="10">
        <f t="shared" si="4"/>
        <v>-1800.2490391470851</v>
      </c>
      <c r="BH18" s="72"/>
    </row>
    <row r="19" spans="1:60" x14ac:dyDescent="0.2">
      <c r="A19" s="5">
        <f>IF(ROWS($A$9:A19)&gt;$B$4,"",ROWS($A$9:A19))</f>
        <v>11</v>
      </c>
      <c r="B19" s="8">
        <v>8000</v>
      </c>
      <c r="D19" s="12"/>
      <c r="AZ19" s="71"/>
      <c r="BA19" s="49">
        <v>17</v>
      </c>
      <c r="BB19" s="40"/>
      <c r="BC19" s="15">
        <f t="shared" si="0"/>
        <v>11</v>
      </c>
      <c r="BD19" s="10">
        <f t="shared" si="1"/>
        <v>8000</v>
      </c>
      <c r="BE19" s="10" t="str">
        <f t="shared" si="2"/>
        <v/>
      </c>
      <c r="BF19" s="60">
        <f t="shared" si="3"/>
        <v>3361.9412395656732</v>
      </c>
      <c r="BG19" s="10">
        <f t="shared" si="4"/>
        <v>1561.6922004185881</v>
      </c>
      <c r="BH19" s="72"/>
    </row>
    <row r="20" spans="1:60" x14ac:dyDescent="0.2">
      <c r="A20" s="5">
        <f>IF(ROWS($A$9:A20)&gt;$B$4,"",ROWS($A$9:A20))</f>
        <v>12</v>
      </c>
      <c r="B20" s="8">
        <v>8000</v>
      </c>
      <c r="AZ20" s="71"/>
      <c r="BA20" s="49">
        <v>18</v>
      </c>
      <c r="BB20" s="40"/>
      <c r="BC20" s="15">
        <f t="shared" si="0"/>
        <v>12</v>
      </c>
      <c r="BD20" s="10">
        <f t="shared" si="1"/>
        <v>8000</v>
      </c>
      <c r="BE20" s="10" t="str">
        <f t="shared" si="2"/>
        <v/>
      </c>
      <c r="BF20" s="60">
        <f t="shared" si="3"/>
        <v>3107.1545652178129</v>
      </c>
      <c r="BG20" s="10" t="str">
        <f t="shared" si="4"/>
        <v/>
      </c>
      <c r="BH20" s="72"/>
    </row>
    <row r="21" spans="1:60" x14ac:dyDescent="0.2">
      <c r="A21" s="5">
        <f>IF(ROWS($A$9:A21)&gt;$B$4,"",ROWS($A$9:A21))</f>
        <v>13</v>
      </c>
      <c r="B21" s="8">
        <v>8000</v>
      </c>
      <c r="AZ21" s="71"/>
      <c r="BA21" s="49">
        <v>19</v>
      </c>
      <c r="BB21" s="40"/>
      <c r="BC21" s="15">
        <f t="shared" si="0"/>
        <v>13</v>
      </c>
      <c r="BD21" s="10">
        <f t="shared" si="1"/>
        <v>8000</v>
      </c>
      <c r="BE21" s="10" t="str">
        <f t="shared" si="2"/>
        <v/>
      </c>
      <c r="BF21" s="60">
        <f t="shared" si="3"/>
        <v>2871.6770473362408</v>
      </c>
      <c r="BG21" s="10" t="str">
        <f t="shared" si="4"/>
        <v/>
      </c>
      <c r="BH21" s="72"/>
    </row>
    <row r="22" spans="1:60" x14ac:dyDescent="0.2">
      <c r="A22" s="5">
        <f>IF(ROWS($A$9:A22)&gt;$B$4,"",ROWS($A$9:A22))</f>
        <v>14</v>
      </c>
      <c r="B22" s="8">
        <v>8000</v>
      </c>
      <c r="AZ22" s="71"/>
      <c r="BA22" s="49">
        <v>20</v>
      </c>
      <c r="BB22" s="40"/>
      <c r="BC22" s="15">
        <f t="shared" si="0"/>
        <v>14</v>
      </c>
      <c r="BD22" s="10">
        <f t="shared" si="1"/>
        <v>8000</v>
      </c>
      <c r="BE22" s="10" t="str">
        <f t="shared" si="2"/>
        <v/>
      </c>
      <c r="BF22" s="60">
        <f t="shared" si="3"/>
        <v>2654.0453302553055</v>
      </c>
      <c r="BG22" s="10" t="str">
        <f t="shared" si="4"/>
        <v/>
      </c>
      <c r="BH22" s="72"/>
    </row>
    <row r="23" spans="1:60" x14ac:dyDescent="0.2">
      <c r="A23" s="5">
        <f>IF(ROWS($A$9:A23)&gt;$B$4,"",ROWS($A$9:A23))</f>
        <v>15</v>
      </c>
      <c r="B23" s="8">
        <v>8000</v>
      </c>
      <c r="AZ23" s="71"/>
      <c r="BA23" s="49">
        <v>21</v>
      </c>
      <c r="BB23" s="40"/>
      <c r="BC23" s="15">
        <f t="shared" si="0"/>
        <v>15</v>
      </c>
      <c r="BD23" s="10">
        <f t="shared" si="1"/>
        <v>8000</v>
      </c>
      <c r="BE23" s="10" t="str">
        <f t="shared" si="2"/>
        <v/>
      </c>
      <c r="BF23" s="60">
        <f t="shared" si="3"/>
        <v>2452.9069595705228</v>
      </c>
      <c r="BG23" s="10" t="str">
        <f t="shared" si="4"/>
        <v/>
      </c>
      <c r="BH23" s="72"/>
    </row>
    <row r="24" spans="1:60" x14ac:dyDescent="0.2">
      <c r="A24" s="5">
        <f>IF(ROWS($A$9:A24)&gt;$B$4,"",ROWS($A$9:A24))</f>
        <v>16</v>
      </c>
      <c r="B24" s="8">
        <v>8000</v>
      </c>
      <c r="AZ24" s="71"/>
      <c r="BA24" s="49">
        <v>22</v>
      </c>
      <c r="BB24" s="40"/>
      <c r="BC24" s="15">
        <f t="shared" si="0"/>
        <v>16</v>
      </c>
      <c r="BD24" s="10">
        <f t="shared" si="1"/>
        <v>8000</v>
      </c>
      <c r="BE24" s="10" t="str">
        <f t="shared" si="2"/>
        <v/>
      </c>
      <c r="BF24" s="60">
        <f t="shared" si="3"/>
        <v>2267.0119774219247</v>
      </c>
      <c r="BG24" s="10" t="str">
        <f t="shared" si="4"/>
        <v/>
      </c>
      <c r="BH24" s="72"/>
    </row>
    <row r="25" spans="1:60" x14ac:dyDescent="0.2">
      <c r="A25" s="5">
        <f>IF(ROWS($A$9:A25)&gt;$B$4,"",ROWS($A$9:A25))</f>
        <v>17</v>
      </c>
      <c r="B25" s="8">
        <v>8000</v>
      </c>
      <c r="AZ25" s="71"/>
      <c r="BA25" s="49">
        <v>23</v>
      </c>
      <c r="BB25" s="40"/>
      <c r="BC25" s="15">
        <f t="shared" si="0"/>
        <v>17</v>
      </c>
      <c r="BD25" s="10">
        <f t="shared" si="1"/>
        <v>8000</v>
      </c>
      <c r="BE25" s="10" t="str">
        <f t="shared" si="2"/>
        <v/>
      </c>
      <c r="BF25" s="60">
        <f t="shared" si="3"/>
        <v>2095.2051547337564</v>
      </c>
      <c r="BG25" s="10" t="str">
        <f t="shared" si="4"/>
        <v/>
      </c>
      <c r="BH25" s="72"/>
    </row>
    <row r="26" spans="1:60" x14ac:dyDescent="0.2">
      <c r="A26" s="5">
        <f>IF(ROWS($A$9:A26)&gt;$B$4,"",ROWS($A$9:A26))</f>
        <v>18</v>
      </c>
      <c r="B26" s="8">
        <v>8000</v>
      </c>
      <c r="AZ26" s="71"/>
      <c r="BA26" s="49">
        <v>24</v>
      </c>
      <c r="BB26" s="40"/>
      <c r="BC26" s="15">
        <f t="shared" si="0"/>
        <v>18</v>
      </c>
      <c r="BD26" s="10">
        <f t="shared" si="1"/>
        <v>8000</v>
      </c>
      <c r="BE26" s="10" t="str">
        <f t="shared" si="2"/>
        <v/>
      </c>
      <c r="BF26" s="60">
        <f t="shared" si="3"/>
        <v>1936.418812138407</v>
      </c>
      <c r="BG26" s="10" t="str">
        <f t="shared" si="4"/>
        <v/>
      </c>
      <c r="BH26" s="72"/>
    </row>
    <row r="27" spans="1:60" x14ac:dyDescent="0.2">
      <c r="A27" s="5">
        <f>IF(ROWS($A$9:A27)&gt;$B$4,"",ROWS($A$9:A27))</f>
        <v>19</v>
      </c>
      <c r="B27" s="8">
        <v>8000</v>
      </c>
      <c r="AZ27" s="71"/>
      <c r="BA27" s="49">
        <v>25</v>
      </c>
      <c r="BB27" s="40"/>
      <c r="BC27" s="15">
        <f t="shared" si="0"/>
        <v>19</v>
      </c>
      <c r="BD27" s="10">
        <f t="shared" si="1"/>
        <v>8000</v>
      </c>
      <c r="BE27" s="10" t="str">
        <f t="shared" si="2"/>
        <v/>
      </c>
      <c r="BF27" s="60">
        <f t="shared" si="3"/>
        <v>1789.6661849708012</v>
      </c>
      <c r="BG27" s="10" t="str">
        <f t="shared" si="4"/>
        <v/>
      </c>
      <c r="BH27" s="72"/>
    </row>
    <row r="28" spans="1:60" x14ac:dyDescent="0.2">
      <c r="A28" s="5">
        <f>IF(ROWS($A$9:A28)&gt;$B$4,"",ROWS($A$9:A28))</f>
        <v>20</v>
      </c>
      <c r="B28" s="8">
        <v>8000</v>
      </c>
      <c r="AZ28" s="71"/>
      <c r="BA28" s="40"/>
      <c r="BB28" s="40"/>
      <c r="BC28" s="15">
        <f t="shared" si="0"/>
        <v>20</v>
      </c>
      <c r="BD28" s="10">
        <f t="shared" si="1"/>
        <v>8000</v>
      </c>
      <c r="BE28" s="10" t="str">
        <f t="shared" si="2"/>
        <v/>
      </c>
      <c r="BF28" s="60">
        <f t="shared" si="3"/>
        <v>1654.0352911005559</v>
      </c>
      <c r="BG28" s="10" t="str">
        <f t="shared" si="4"/>
        <v/>
      </c>
      <c r="BH28" s="72"/>
    </row>
    <row r="29" spans="1:60" x14ac:dyDescent="0.2">
      <c r="A29" s="5" t="str">
        <f>IF(ROWS($A$9:A29)&gt;$B$4,"",ROWS($A$9:A29))</f>
        <v/>
      </c>
      <c r="B29" s="8"/>
      <c r="AZ29" s="71"/>
      <c r="BA29" s="40"/>
      <c r="BB29" s="40"/>
      <c r="BC29" s="15" t="str">
        <f t="shared" si="0"/>
        <v/>
      </c>
      <c r="BD29" s="10" t="str">
        <f t="shared" si="1"/>
        <v/>
      </c>
      <c r="BE29" s="10" t="str">
        <f t="shared" si="2"/>
        <v/>
      </c>
      <c r="BF29" s="60" t="str">
        <f t="shared" si="3"/>
        <v/>
      </c>
      <c r="BG29" s="10" t="str">
        <f t="shared" si="4"/>
        <v/>
      </c>
      <c r="BH29" s="72"/>
    </row>
    <row r="30" spans="1:60" x14ac:dyDescent="0.2">
      <c r="A30" s="5" t="str">
        <f>IF(ROWS($A$9:A30)&gt;$B$4,"",ROWS($A$9:A30))</f>
        <v/>
      </c>
      <c r="B30" s="8"/>
      <c r="AZ30" s="71"/>
      <c r="BA30" s="40"/>
      <c r="BB30" s="40"/>
      <c r="BC30" s="15" t="str">
        <f t="shared" si="0"/>
        <v/>
      </c>
      <c r="BD30" s="10" t="str">
        <f t="shared" si="1"/>
        <v/>
      </c>
      <c r="BE30" s="10" t="str">
        <f t="shared" si="2"/>
        <v/>
      </c>
      <c r="BF30" s="60" t="str">
        <f t="shared" si="3"/>
        <v/>
      </c>
      <c r="BG30" s="10" t="str">
        <f t="shared" si="4"/>
        <v/>
      </c>
      <c r="BH30" s="72"/>
    </row>
    <row r="31" spans="1:60" x14ac:dyDescent="0.2">
      <c r="A31" s="5" t="str">
        <f>IF(ROWS($A$9:A31)&gt;$B$4,"",ROWS($A$9:A31))</f>
        <v/>
      </c>
      <c r="B31" s="8"/>
      <c r="AZ31" s="71"/>
      <c r="BA31" s="40"/>
      <c r="BB31" s="40"/>
      <c r="BC31" s="15" t="str">
        <f t="shared" si="0"/>
        <v/>
      </c>
      <c r="BD31" s="10" t="str">
        <f t="shared" si="1"/>
        <v/>
      </c>
      <c r="BE31" s="10" t="str">
        <f t="shared" si="2"/>
        <v/>
      </c>
      <c r="BF31" s="60" t="str">
        <f t="shared" si="3"/>
        <v/>
      </c>
      <c r="BG31" s="10" t="str">
        <f t="shared" si="4"/>
        <v/>
      </c>
      <c r="BH31" s="72"/>
    </row>
    <row r="32" spans="1:60" x14ac:dyDescent="0.2">
      <c r="A32" s="5" t="str">
        <f>IF(ROWS($A$9:A32)&gt;$B$4,"",ROWS($A$9:A32))</f>
        <v/>
      </c>
      <c r="B32" s="8"/>
      <c r="AZ32" s="71"/>
      <c r="BA32" s="40"/>
      <c r="BB32" s="40"/>
      <c r="BC32" s="15" t="str">
        <f t="shared" si="0"/>
        <v/>
      </c>
      <c r="BD32" s="10" t="str">
        <f t="shared" si="1"/>
        <v/>
      </c>
      <c r="BE32" s="10" t="str">
        <f t="shared" si="2"/>
        <v/>
      </c>
      <c r="BF32" s="60" t="str">
        <f t="shared" si="3"/>
        <v/>
      </c>
      <c r="BG32" s="10" t="str">
        <f t="shared" si="4"/>
        <v/>
      </c>
      <c r="BH32" s="72"/>
    </row>
    <row r="33" spans="1:60" x14ac:dyDescent="0.2">
      <c r="A33" s="5" t="str">
        <f>IF(ROWS($A$9:A33)&gt;$B$4,"",ROWS($A$9:A33))</f>
        <v/>
      </c>
      <c r="B33" s="8"/>
      <c r="AZ33" s="71"/>
      <c r="BA33" s="40"/>
      <c r="BB33" s="40"/>
      <c r="BC33" s="15" t="str">
        <f t="shared" si="0"/>
        <v/>
      </c>
      <c r="BD33" s="10" t="str">
        <f t="shared" si="1"/>
        <v/>
      </c>
      <c r="BE33" s="10" t="str">
        <f t="shared" si="2"/>
        <v/>
      </c>
      <c r="BF33" s="60" t="str">
        <f t="shared" si="3"/>
        <v/>
      </c>
      <c r="BG33" s="10" t="str">
        <f t="shared" si="4"/>
        <v/>
      </c>
      <c r="BH33" s="72"/>
    </row>
    <row r="34" spans="1:60" x14ac:dyDescent="0.2">
      <c r="AZ34" s="71"/>
      <c r="BA34" s="40"/>
      <c r="BB34" s="40"/>
      <c r="BC34" s="40"/>
      <c r="BD34" s="40"/>
      <c r="BE34" s="40"/>
      <c r="BF34" s="40"/>
      <c r="BG34" s="40"/>
      <c r="BH34" s="72"/>
    </row>
    <row r="35" spans="1:60" x14ac:dyDescent="0.2">
      <c r="AZ35" s="71"/>
      <c r="BA35" s="40"/>
      <c r="BB35" s="40"/>
      <c r="BC35" s="40"/>
      <c r="BD35" s="40"/>
      <c r="BE35" s="40"/>
      <c r="BF35" s="40"/>
      <c r="BG35" s="40"/>
      <c r="BH35" s="72"/>
    </row>
    <row r="36" spans="1:60" x14ac:dyDescent="0.2">
      <c r="AZ36" s="71"/>
      <c r="BA36" s="40"/>
      <c r="BB36" s="40"/>
      <c r="BC36" s="40"/>
      <c r="BD36" s="40"/>
      <c r="BE36" s="40"/>
      <c r="BF36" s="40"/>
      <c r="BG36" s="40"/>
      <c r="BH36" s="72"/>
    </row>
    <row r="37" spans="1:60" ht="16" thickBot="1" x14ac:dyDescent="0.25">
      <c r="AZ37" s="78"/>
      <c r="BA37" s="76"/>
      <c r="BB37" s="76"/>
      <c r="BC37" s="76"/>
      <c r="BD37" s="76"/>
      <c r="BE37" s="76"/>
      <c r="BF37" s="76"/>
      <c r="BG37" s="76"/>
      <c r="BH37" s="77"/>
    </row>
  </sheetData>
  <mergeCells count="13">
    <mergeCell ref="AZ1:BH2"/>
    <mergeCell ref="BD3:BE4"/>
    <mergeCell ref="B2:F2"/>
    <mergeCell ref="D4:E4"/>
    <mergeCell ref="D5:E5"/>
    <mergeCell ref="I3:J4"/>
    <mergeCell ref="D6:E6"/>
    <mergeCell ref="D7:E7"/>
    <mergeCell ref="D12:E12"/>
    <mergeCell ref="D9:E9"/>
    <mergeCell ref="BF6:BG6"/>
    <mergeCell ref="D8:E8"/>
    <mergeCell ref="BC6:BE6"/>
  </mergeCells>
  <conditionalFormatting sqref="A8:B33">
    <cfRule type="expression" dxfId="1" priority="6">
      <formula>$A8=""</formula>
    </cfRule>
  </conditionalFormatting>
  <conditionalFormatting sqref="BC8:BG33">
    <cfRule type="expression" dxfId="0" priority="1">
      <formula>$BC8=""</formula>
    </cfRule>
  </conditionalFormatting>
  <dataValidations count="4">
    <dataValidation type="list" allowBlank="1" showInputMessage="1" showErrorMessage="1" sqref="B4" xr:uid="{A8AF2214-CBCF-4321-BBBC-3C5BCF8C2892}">
      <formula1>$BA$5:$BA$27</formula1>
    </dataValidation>
    <dataValidation type="decimal" allowBlank="1" showInputMessage="1" showErrorMessage="1" errorTitle="Beta Value Input Error" error="Please enter decimal value between 0 and 3. If you want to make changes please contact an expert " sqref="B5" xr:uid="{867E9D95-0773-40E0-9EA8-2D373FD9F654}">
      <formula1>0</formula1>
      <formula2>3</formula2>
    </dataValidation>
    <dataValidation type="custom" allowBlank="1" showInputMessage="1" showErrorMessage="1" error="The Expected cashflow for year 0 should be negative" sqref="B8" xr:uid="{BB152F5C-B586-4381-AFF5-00EBEC959464}">
      <formula1>B8&lt;0</formula1>
    </dataValidation>
    <dataValidation type="custom" allowBlank="1" showInputMessage="1" showErrorMessage="1" error="The expected cashflow from year 1 onwards should be a number" sqref="B9:B33" xr:uid="{4B7147FC-71B8-40D7-846E-F221D13833F5}">
      <formula1>ISNUMBER(B9)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GoToSummary">
                <anchor moveWithCells="1" sizeWithCells="1">
                  <from>
                    <xdr:col>3</xdr:col>
                    <xdr:colOff>330200</xdr:colOff>
                    <xdr:row>12</xdr:row>
                    <xdr:rowOff>165100</xdr:rowOff>
                  </from>
                  <to>
                    <xdr:col>4</xdr:col>
                    <xdr:colOff>1066800</xdr:colOff>
                    <xdr:row>14</xdr:row>
                    <xdr:rowOff>177800</xdr:rowOff>
                  </to>
                </anchor>
              </controlPr>
            </control>
          </mc:Choice>
        </mc:AlternateContent>
        <mc:AlternateContent xmlns:mc="http://schemas.openxmlformats.org/markup-compatibility/2006">
          <mc:Choice Requires="x14">
            <control shapeId="17410" r:id="rId4" name="Button 2">
              <controlPr defaultSize="0" print="0" autoFill="0" autoPict="0" macro="[0]!GoToNPV_Profile">
                <anchor moveWithCells="1" sizeWithCells="1">
                  <from>
                    <xdr:col>3</xdr:col>
                    <xdr:colOff>330200</xdr:colOff>
                    <xdr:row>15</xdr:row>
                    <xdr:rowOff>88900</xdr:rowOff>
                  </from>
                  <to>
                    <xdr:col>4</xdr:col>
                    <xdr:colOff>1066800</xdr:colOff>
                    <xdr:row>17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User Guide</vt:lpstr>
      <vt:lpstr>Summary</vt:lpstr>
      <vt:lpstr>ProjectPortfolio</vt:lpstr>
      <vt:lpstr>NPV Profile</vt:lpstr>
      <vt:lpstr>Portfolio</vt:lpstr>
      <vt:lpstr>ProjectA</vt:lpstr>
      <vt:lpstr>ProjectB</vt:lpstr>
      <vt:lpstr>ProjectC</vt:lpstr>
      <vt:lpstr>ProjectD</vt:lpstr>
      <vt:lpstr>ProjectE</vt:lpstr>
      <vt:lpstr>ProjectF</vt:lpstr>
      <vt:lpstr>ProjectG</vt:lpstr>
      <vt:lpstr>ProjectH</vt:lpstr>
      <vt:lpstr>ProjectI</vt:lpstr>
      <vt:lpstr>ProjectJ</vt:lpstr>
      <vt:lpstr>ProjectK</vt:lpstr>
      <vt:lpstr>Binary_Decisions</vt:lpstr>
      <vt:lpstr>Max_Beta</vt:lpstr>
      <vt:lpstr>Max_Capital</vt:lpstr>
      <vt:lpstr>Min_Beta</vt:lpstr>
      <vt:lpstr>Min_Capital</vt:lpstr>
      <vt:lpstr>MRP</vt:lpstr>
      <vt:lpstr>One</vt:lpstr>
      <vt:lpstr>ProjectBeta</vt:lpstr>
      <vt:lpstr>RfRate</vt:lpstr>
      <vt:lpstr>Sum_Mutually_Exclusive</vt:lpstr>
      <vt:lpstr>Sum_NegNPVPrj</vt:lpstr>
      <vt:lpstr>TotalInvestment</vt:lpstr>
      <vt:lpstr>TotalNPV</vt:lpstr>
      <vt:lpstr>Zero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rkshukla</dc:creator>
  <cp:lastModifiedBy>Microsoft Office User</cp:lastModifiedBy>
  <dcterms:created xsi:type="dcterms:W3CDTF">2020-10-20T01:25:04Z</dcterms:created>
  <dcterms:modified xsi:type="dcterms:W3CDTF">2021-05-15T22:08:30Z</dcterms:modified>
</cp:coreProperties>
</file>